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5f0d1f812341bc" /></Relationships>
</file>

<file path=xl/workbook.xml><?xml version="1.0" encoding="utf-8"?>
<x:workbook xmlns:x="http://schemas.openxmlformats.org/spreadsheetml/2006/main">
  <x:sheets>
    <x:sheet xmlns:r="http://schemas.openxmlformats.org/officeDocument/2006/relationships" name="Dashboard" sheetId="1" r:id="R599f9d2ccf954602"/>
    <x:sheet xmlns:r="http://schemas.openxmlformats.org/officeDocument/2006/relationships" name="Weekly Plan" sheetId="2" r:id="R4e9a5a16a7224f82"/>
    <x:sheet xmlns:r="http://schemas.openxmlformats.org/officeDocument/2006/relationships" name="Session 1 - IQ" sheetId="3" r:id="R0107804dc8114919"/>
    <x:sheet xmlns:r="http://schemas.openxmlformats.org/officeDocument/2006/relationships" name="Session 2 - Duels" sheetId="4" r:id="R21962d639d08469b"/>
    <x:sheet xmlns:r="http://schemas.openxmlformats.org/officeDocument/2006/relationships" name="Session 3 - Forward" sheetId="5" r:id="Rbebdc77951c8460d"/>
    <x:sheet xmlns:r="http://schemas.openxmlformats.org/officeDocument/2006/relationships" name="20-Min Homework" sheetId="6" r:id="Rd621dc8e19334c55"/>
    <x:sheet xmlns:r="http://schemas.openxmlformats.org/officeDocument/2006/relationships" name="Score Tracker" sheetId="7" r:id="R2439d9b4b5b04f52"/>
    <x:sheet xmlns:r="http://schemas.openxmlformats.org/officeDocument/2006/relationships" name="Session Log" sheetId="8" r:id="R630bfda7b1e2416e"/>
    <x:sheet xmlns:r="http://schemas.openxmlformats.org/officeDocument/2006/relationships" name="References" sheetId="9" r:id="Ra3e84967a9c74ac0"/>
    <x:sheet xmlns:r="http://schemas.openxmlformats.org/officeDocument/2006/relationships" name="Lists" sheetId="10" r:id="R6c02a888a02c4a74"/>
  </x:sheets>
</x:workbook>
</file>

<file path=xl/sharedStrings.xml><?xml version="1.0" encoding="utf-8"?>
<x:sst xmlns:x="http://schemas.openxmlformats.org/spreadsheetml/2006/main">
  <x:si>
    <x:t xml:space="preserve">Athlete</x:t>
  </x:si>
  <x:si>
    <x:t xml:space="preserve">How to Use This Workbook</x:t>
  </x:si>
  <x:si>
    <x:t xml:space="preserve">Identity</x:t>
  </x:si>
  <x:si>
    <x:t xml:space="preserve">1) Adjust the Weekly Plan around club load.
2) Use the three session tabs for private sessions.
3) Use 20-Min Homework when motivation is low.
4) Record actual work in Session Log.
5) Update Score Tracker once per week.</x:t>
  </x:si>
  <x:si>
    <x:t xml:space="preserve">Plan</x:t>
  </x:si>
  <x:si>
    <x:t xml:space="preserve">2 hard individual sessions + 1 light technical session + 1 full rest day</x:t>
  </x:si>
  <x:si>
    <x:t xml:space="preserve">Main Rule</x:t>
  </x:si>
  <x:si>
    <x:t xml:space="preserve">Train the whole game, not only striker goals</x:t>
  </x:si>
  <x:si>
    <x:t xml:space="preserve">Weekly Plan Snapshot</x:t>
  </x:si>
  <x:si>
    <x:t xml:space="preserve">Metric</x:t>
  </x:si>
  <x:si>
    <x:t xml:space="preserve">Value</x:t>
  </x:si>
  <x:si>
    <x:t xml:space="preserve">Target / Note</x:t>
  </x:si>
  <x:si>
    <x:t xml:space="preserve">Standard</x:t>
  </x:si>
  <x:si>
    <x:t xml:space="preserve">Meaning</x:t>
  </x:si>
  <x:si>
    <x:t xml:space="preserve">Action</x:t>
  </x:si>
  <x:si>
    <x:t xml:space="preserve">Status</x:t>
  </x:si>
  <x:si>
    <x:t xml:space="preserve">Planned Minutes</x:t>
  </x:si>
  <x:si>
    <x:t xml:space="preserve">300-400 depending on club week</x:t>
  </x:si>
  <x:si>
    <x:t xml:space="preserve">Scan Score</x:t>
  </x:si>
  <x:si>
    <x:t xml:space="preserve">8/10+ before receiving</x:t>
  </x:si>
  <x:si>
    <x:t xml:space="preserve">Use Session 1</x:t>
  </x:si>
  <x:si>
    <x:t xml:space="preserve">Planned Load</x:t>
  </x:si>
  <x:si>
    <x:t xml:space="preserve">Avoid sudden load spikes</x:t>
  </x:si>
  <x:si>
    <x:t xml:space="preserve">Finishing</x:t>
  </x:si>
  <x:si>
    <x:t xml:space="preserve">70%+ on frame</x:t>
  </x:si>
  <x:si>
    <x:t xml:space="preserve">Use Session 3</x:t>
  </x:si>
  <x:si>
    <x:t xml:space="preserve">Hard Individual Days</x:t>
  </x:si>
  <x:si>
    <x:t xml:space="preserve">2 max most weeks</x:t>
  </x:si>
  <x:si>
    <x:t xml:space="preserve">1v1 Duels</x:t>
  </x:si>
  <x:si>
    <x:t xml:space="preserve">60%+ win/delay rate</x:t>
  </x:si>
  <x:si>
    <x:t xml:space="preserve">Use Session 2</x:t>
  </x:si>
  <x:si>
    <x:t xml:space="preserve">Full Rest Days</x:t>
  </x:si>
  <x:si>
    <x:t xml:space="preserve">1+ minimum</x:t>
  </x:si>
  <x:si>
    <x:t xml:space="preserve">Weak Foot</x:t>
  </x:si>
  <x:si>
    <x:t xml:space="preserve">100 clean passes</x:t>
  </x:si>
  <x:si>
    <x:t xml:space="preserve">Use Homework</x:t>
  </x:si>
  <x:si>
    <x:t xml:space="preserve">Latest Weekly Scorecard</x:t>
  </x:si>
  <x:si>
    <x:t xml:space="preserve">Latest Value</x:t>
  </x:si>
  <x:si>
    <x:t xml:space="preserve">Target</x:t>
  </x:si>
  <x:si>
    <x:t xml:space="preserve">Trend / Focus</x:t>
  </x:si>
  <x:si>
    <x:t xml:space="preserve">Juggling Record</x:t>
  </x:si>
  <x:si>
    <x:t xml:space="preserve">80+</x:t>
  </x:si>
  <x:si>
    <x:t xml:space="preserve">Finishing On Frame %</x:t>
  </x:si>
  <x:si>
    <x:t xml:space="preserve">70%+</x:t>
  </x:si>
  <x:si>
    <x:t xml:space="preserve">Weak-Foot Passes</x:t>
  </x:si>
  <x:si>
    <x:t xml:space="preserve">100</x:t>
  </x:si>
  <x:si>
    <x:t xml:space="preserve">1v1 Def Win %</x:t>
  </x:si>
  <x:si>
    <x:t xml:space="preserve">60%+</x:t>
  </x:si>
  <x:si>
    <x:t xml:space="preserve">10 yd Sprint</x:t>
  </x:si>
  <x:si>
    <x:t xml:space="preserve">2.20 sec</x:t>
  </x:si>
  <x:si>
    <x:t xml:space="preserve">1v1 Attack Win %</x:t>
  </x:si>
  <x:si>
    <x:t xml:space="preserve">8/10+</x:t>
  </x:si>
  <x:si>
    <x:t xml:space="preserve">Overall Score</x:t>
  </x:si>
  <x:si>
    <x:t xml:space="preserve">Non-Negotiables</x:t>
  </x:si>
  <x:si>
    <x:t xml:space="preserve">1</x:t>
  </x:si>
  <x:si>
    <x:t xml:space="preserve">Scan before receiving</x:t>
  </x:si>
  <x:si>
    <x:t xml:space="preserve">He must check shoulder before the ball arrives, not after.</x:t>
  </x:si>
  <x:si>
    <x:t xml:space="preserve">2</x:t>
  </x:si>
  <x:si>
    <x:t xml:space="preserve">First touch with purpose</x:t>
  </x:si>
  <x:si>
    <x:t xml:space="preserve">First touch should escape pressure or prepare the next action.</x:t>
  </x:si>
  <x:si>
    <x:t xml:space="preserve">3</x:t>
  </x:si>
  <x:si>
    <x:t xml:space="preserve">Lose it, hunt it</x:t>
  </x:si>
  <x:si>
    <x:t xml:space="preserve">Immediate counterpress for three seconds after losing possession.</x:t>
  </x:si>
  <x:si>
    <x:t xml:space="preserve">4</x:t>
  </x:si>
  <x:si>
    <x:t xml:space="preserve">One move then explode</x:t>
  </x:si>
  <x:si>
    <x:t xml:space="preserve">No dancing. Beat the man and go.</x:t>
  </x:si>
  <x:si>
    <x:t xml:space="preserve">5</x:t>
  </x:si>
  <x:si>
    <x:t xml:space="preserve">Dad/Coach/Scout mode</x:t>
  </x:si>
  <x:si>
    <x:t xml:space="preserve">Push standards without making every session emotional.</x:t>
  </x:si>
  <x:si>
    <x:t xml:space="preserve">Flexible template. Adjust around club training, match load, soreness, and school. Target: 2 hard individual sessions, 1 light technical session, and at least 1 full rest day.</x:t>
  </x:si>
  <x:si>
    <x:t xml:space="preserve">Day</x:t>
  </x:si>
  <x:si>
    <x:t xml:space="preserve">Session Type</x:t>
  </x:si>
  <x:si>
    <x:t xml:space="preserve">Duration Min</x:t>
  </x:si>
  <x:si>
    <x:t xml:space="preserve">Planned RPE</x:t>
  </x:si>
  <x:si>
    <x:t xml:space="preserve">Training Load</x:t>
  </x:si>
  <x:si>
    <x:t xml:space="preserve">Intensity</x:t>
  </x:si>
  <x:si>
    <x:t xml:space="preserve">Primary Focus</x:t>
  </x:si>
  <x:si>
    <x:t xml:space="preserve">Parent Mode</x:t>
  </x:si>
  <x:si>
    <x:t xml:space="preserve">Non-Negotiable</x:t>
  </x:si>
  <x:si>
    <x:t xml:space="preserve">Notes</x:t>
  </x:si>
  <x:si>
    <x:t xml:space="preserve">Monday</x:t>
  </x:si>
  <x:si>
    <x:t xml:space="preserve">Medium</x:t>
  </x:si>
  <x:si>
    <x:t xml:space="preserve">Scanning, first touch, pressure escape, role rotation</x:t>
  </x:si>
  <x:si>
    <x:t xml:space="preserve">Mixed</x:t>
  </x:si>
  <x:si>
    <x:t xml:space="preserve">Quality touches and decisions over punishment</x:t>
  </x:si>
  <x:si>
    <x:t xml:space="preserve">Move this day if club training is heavy.</x:t>
  </x:si>
  <x:si>
    <x:t xml:space="preserve">Tuesday</x:t>
  </x:si>
  <x:si>
    <x:t xml:space="preserve">Club Training</x:t>
  </x:si>
  <x:si>
    <x:t xml:space="preserve">High</x:t>
  </x:si>
  <x:si>
    <x:t xml:space="preserve">Team tactics, coach instructions, positional discipline</x:t>
  </x:si>
  <x:si>
    <x:t xml:space="preserve">Scout</x:t>
  </x:si>
  <x:si>
    <x:t xml:space="preserve">Respect the team plan</x:t>
  </x:si>
  <x:si>
    <x:t xml:space="preserve">No hard extra work after a brutal club session.</x:t>
  </x:si>
  <x:si>
    <x:t xml:space="preserve">Wednesday</x:t>
  </x:si>
  <x:si>
    <x:t xml:space="preserve">Speed + Duels</x:t>
  </x:si>
  <x:si>
    <x:t xml:space="preserve">Acceleration, reaction cuts, 1v1 defending/attacking</x:t>
  </x:si>
  <x:si>
    <x:t xml:space="preserve">Coach</x:t>
  </x:si>
  <x:si>
    <x:t xml:space="preserve">Full rest between sprints; no lazy reps</x:t>
  </x:si>
  <x:si>
    <x:t xml:space="preserve">Competitive dog session.</x:t>
  </x:si>
  <x:si>
    <x:t xml:space="preserve">Thursday</x:t>
  </x:si>
  <x:si>
    <x:t xml:space="preserve">20-Min Homework</x:t>
  </x:si>
  <x:si>
    <x:t xml:space="preserve">Low</x:t>
  </x:si>
  <x:si>
    <x:t xml:space="preserve">Juggling, wall passing, weak foot, ball mastery</x:t>
  </x:si>
  <x:si>
    <x:t xml:space="preserve">Dad</x:t>
  </x:si>
  <x:si>
    <x:t xml:space="preserve">Keep it fun and clean</x:t>
  </x:si>
  <x:si>
    <x:t xml:space="preserve">Win the habit without a fight.</x:t>
  </x:si>
  <x:si>
    <x:t xml:space="preserve">Friday</x:t>
  </x:si>
  <x:si>
    <x:t xml:space="preserve">Forward Killer</x:t>
  </x:si>
  <x:si>
    <x:t xml:space="preserve">Movement, finishing, back-to-goal, striker pressing</x:t>
  </x:si>
  <x:si>
    <x:t xml:space="preserve">70%+ on frame before adding speed</x:t>
  </x:si>
  <x:si>
    <x:t xml:space="preserve">Do not just shoot; move before every finish.</x:t>
  </x:si>
  <x:si>
    <x:t xml:space="preserve">Saturday</x:t>
  </x:si>
  <x:si>
    <x:t xml:space="preserve">Match/Scrimmage</x:t>
  </x:si>
  <x:si>
    <x:t xml:space="preserve">Apply total player profile in a real game</x:t>
  </x:si>
  <x:si>
    <x:t xml:space="preserve">Observe more than you talk</x:t>
  </x:si>
  <x:si>
    <x:t xml:space="preserve">Post-game: ask what he saw, not only what he did.</x:t>
  </x:si>
  <x:si>
    <x:t xml:space="preserve">Sunday</x:t>
  </x:si>
  <x:si>
    <x:t xml:space="preserve">Rest/Recovery</x:t>
  </x:si>
  <x:si>
    <x:t xml:space="preserve">Rest</x:t>
  </x:si>
  <x:si>
    <x:t xml:space="preserve">No soccer-specific training</x:t>
  </x:si>
  <x:si>
    <x:t xml:space="preserve">Protect body and mind</x:t>
  </x:si>
  <x:si>
    <x:t xml:space="preserve">Walk, stretch, family time only.</x:t>
  </x:si>
  <x:si>
    <x:t xml:space="preserve">Weekly Summary</x:t>
  </x:si>
  <x:si>
    <x:t xml:space="preserve">Formula</x:t>
  </x:si>
  <x:si>
    <x:t xml:space="preserve">Current Plan</x:t>
  </x:si>
  <x:si>
    <x:t xml:space="preserve">Total Planned Minutes</x:t>
  </x:si>
  <x:si>
    <x:t xml:space="preserve">300-400 based on club load</x:t>
  </x:si>
  <x:si>
    <x:t xml:space="preserve">Total Training Load</x:t>
  </x:si>
  <x:si>
    <x:t xml:space="preserve">Keep stable week to week</x:t>
  </x:si>
  <x:si>
    <x:t xml:space="preserve">Coach's Rule</x:t>
  </x:si>
  <x:si>
    <x:t xml:space="preserve">Do not make every session a father-son war. Use Coach Mode for standards, Dad Mode for joy, and Scout Mode to observe quietly. The win is a player who wants to return tomorrow.</x:t>
  </x:si>
  <x:si>
    <x:t xml:space="preserve">Goal: build the European profile — scan early, receive on the half-turn, pass with both feet, escape pressure, and understand how striker, winger, fullback, and midfielder actions connect.</x:t>
  </x:si>
  <x:si>
    <x:t xml:space="preserve">Block</x:t>
  </x:si>
  <x:si>
    <x:t xml:space="preserve">Minutes</x:t>
  </x:si>
  <x:si>
    <x:t xml:space="preserve">Drill</x:t>
  </x:si>
  <x:si>
    <x:t xml:space="preserve">Setup</x:t>
  </x:si>
  <x:si>
    <x:t xml:space="preserve">Reps / Rules</x:t>
  </x:si>
  <x:si>
    <x:t xml:space="preserve">Coaching Cues</x:t>
  </x:si>
  <x:si>
    <x:t xml:space="preserve">Success Standard</x:t>
  </x:si>
  <x:si>
    <x:t xml:space="preserve">Warmup</x:t>
  </x:si>
  <x:si>
    <x:t xml:space="preserve">Dynamic warmup + accelerations</x:t>
  </x:si>
  <x:si>
    <x:t xml:space="preserve">High knees, skips, shuffles, hips, backpedal, sprint mechanics</x:t>
  </x:si>
  <x:si>
    <x:t xml:space="preserve">3 x 10 yd + 3 x 15 yd accelerations</x:t>
  </x:si>
  <x:si>
    <x:t xml:space="preserve">Sharp not tired. Smooth mechanics.</x:t>
  </x:si>
  <x:si>
    <x:t xml:space="preserve">Fresh legs and clean posture</x:t>
  </x:si>
  <x:si>
    <x:t xml:space="preserve">Scan</x:t>
  </x:si>
  <x:si>
    <x:t xml:space="preserve">Color scan before receiving</x:t>
  </x:si>
  <x:si>
    <x:t xml:space="preserve">Four colored cones/objects around him; parent calls color before pass arrives</x:t>
  </x:si>
  <x:si>
    <x:t xml:space="preserve">5 x 90 sec, 45 sec rest</x:t>
  </x:si>
  <x:si>
    <x:t xml:space="preserve">Scan before. Open body. First touch away from pressure.</x:t>
  </x:si>
  <x:si>
    <x:t xml:space="preserve">8/10 reps include visible shoulder check</x:t>
  </x:si>
  <x:si>
    <x:t xml:space="preserve">Pass</x:t>
  </x:si>
  <x:si>
    <x:t xml:space="preserve">Two-foot wall/parent passing</x:t>
  </x:si>
  <x:si>
    <x:t xml:space="preserve">Wall or parent 8-12 yards away</x:t>
  </x:si>
  <x:si>
    <x:t xml:space="preserve">50 right, 50 left, 25 one-touch each, 25 across-body</x:t>
  </x:si>
  <x:si>
    <x:t xml:space="preserve">Clean pace on floor. No lazy passes.</x:t>
  </x:si>
  <x:si>
    <x:t xml:space="preserve">100+ clean weak-foot passes weekly</x:t>
  </x:si>
  <x:si>
    <x:t xml:space="preserve">Escape</x:t>
  </x:si>
  <x:si>
    <x:t xml:space="preserve">Pressure commands</x:t>
  </x:si>
  <x:si>
    <x:t xml:space="preserve">Cone defender or passive pressure from behind</x:t>
  </x:si>
  <x:si>
    <x:t xml:space="preserve">Commands: "Man on" bounce; "Turn" open; "Left/Right shoulder" touch away</x:t>
  </x:si>
  <x:si>
    <x:t xml:space="preserve">Receive based on information, not habit.</x:t>
  </x:si>
  <x:si>
    <x:t xml:space="preserve">Correct decision before technical speed</x:t>
  </x:si>
  <x:si>
    <x:t xml:space="preserve">Rotate</x:t>
  </x:si>
  <x:si>
    <x:t xml:space="preserve">Position rotation pattern</x:t>
  </x:si>
  <x:si>
    <x:t xml:space="preserve">Same ball pattern from striker, winger, fullback, midfielder roles</x:t>
  </x:si>
  <x:si>
    <x:t xml:space="preserve">4 roles x 3-4 reps each action</x:t>
  </x:si>
  <x:si>
    <x:t xml:space="preserve">Understand the job of every position.</x:t>
  </x:si>
  <x:si>
    <x:t xml:space="preserve">Can explain role after each round</x:t>
  </x:si>
  <x:si>
    <x:t xml:space="preserve">Cooldown</x:t>
  </x:si>
  <x:si>
    <x:t xml:space="preserve">Breathing + recap</x:t>
  </x:si>
  <x:si>
    <x:t xml:space="preserve">Walk, hydrate, quick stretch</x:t>
  </x:si>
  <x:si>
    <x:t xml:space="preserve">Ask: what did you see before receiving?</x:t>
  </x:si>
  <x:si>
    <x:t xml:space="preserve">Make him verbalize the picture.</x:t>
  </x:si>
  <x:si>
    <x:t xml:space="preserve">One clear learning point recorded</x:t>
  </x:si>
  <x:si>
    <x:t xml:space="preserve">Coaching Standard</x:t>
  </x:si>
  <x:si>
    <x:t xml:space="preserve">This is not a cone-show session. Every rep must include information: scan, body shape, first touch, decision, execution. If the decision is wrong, slow the drill down before adding speed.</x:t>
  </x:si>
  <x:si>
    <x:t xml:space="preserve">Session 2 — Speed + Duels</x:t>
  </x:si>
  <x:si>
    <x:t xml:space="preserve">Goal: build the two-way monster — acceleration, reaction cuts, 1v1 defending, 1v1 attacking, and instant transition after losing the ball.</x:t>
  </x:si>
  <x:si>
    <x:t xml:space="preserve">Dynamic movement + activation</x:t>
  </x:si>
  <x:si>
    <x:t xml:space="preserve">A-skips, shuffles, carioca, hips, pogo hops</x:t>
  </x:si>
  <x:si>
    <x:t xml:space="preserve">2 rounds</x:t>
  </x:si>
  <x:si>
    <x:t xml:space="preserve">Tall posture, fast feet, soft landing.</x:t>
  </x:si>
  <x:si>
    <x:t xml:space="preserve">Ready to sprint without stiffness</x:t>
  </x:si>
  <x:si>
    <x:t xml:space="preserve">Speed</x:t>
  </x:si>
  <x:si>
    <x:t xml:space="preserve">Sprint mechanics</x:t>
  </x:si>
  <x:si>
    <x:t xml:space="preserve">Wall drives, falling starts, 10-20 yd lane</x:t>
  </x:si>
  <x:si>
    <x:t xml:space="preserve">5 x 10 yd, 4 x 20 yd, full rest</x:t>
  </x:si>
  <x:si>
    <x:t xml:space="preserve">Speed is not conditioning. Full rest. Violent first 3 steps.</x:t>
  </x:si>
  <x:si>
    <x:t xml:space="preserve">No rep starts tired</x:t>
  </x:si>
  <x:si>
    <x:t xml:space="preserve">Reaction</x:t>
  </x:si>
  <x:si>
    <x:t xml:space="preserve">Random direction cuts</x:t>
  </x:si>
  <x:si>
    <x:t xml:space="preserve">Three-cone line: left, middle, right</x:t>
  </x:si>
  <x:si>
    <x:t xml:space="preserve">8 right, 8 left, 8 random</x:t>
  </x:si>
  <x:si>
    <x:t xml:space="preserve">Drop hips. Push ground away. Explode out.</x:t>
  </x:si>
  <x:si>
    <x:t xml:space="preserve">Clean cut without slipping or standing up</x:t>
  </x:si>
  <x:si>
    <x:t xml:space="preserve">Defend</x:t>
  </x:si>
  <x:si>
    <x:t xml:space="preserve">1v1 defending box</x:t>
  </x:si>
  <x:si>
    <x:t xml:space="preserve">10x12 yd box, attacker dribbles at him</x:t>
  </x:si>
  <x:si>
    <x:t xml:space="preserve">Fast approach, slow finish. Side-on. Do not stab.</x:t>
  </x:si>
  <x:si>
    <x:t xml:space="preserve">60%+ delay/win score</x:t>
  </x:si>
  <x:si>
    <x:t xml:space="preserve">Attack</x:t>
  </x:si>
  <x:si>
    <x:t xml:space="preserve">1v1 attacking box</x:t>
  </x:si>
  <x:si>
    <x:t xml:space="preserve">One move then explode; first to 7</x:t>
  </x:si>
  <x:si>
    <x:t xml:space="preserve">One move. Violence after the move.</x:t>
  </x:si>
  <x:si>
    <x:t xml:space="preserve">60%+ beat/finish score</x:t>
  </x:si>
  <x:si>
    <x:t xml:space="preserve">Transition</x:t>
  </x:si>
  <x:si>
    <x:t xml:space="preserve">1v1 attack continues if ball is lost</x:t>
  </x:si>
  <x:si>
    <x:t xml:space="preserve">3-second counterpress rule</x:t>
  </x:si>
  <x:si>
    <x:t xml:space="preserve">The play is not over when he loses it.</x:t>
  </x:si>
  <x:si>
    <x:t xml:space="preserve">Immediate chase after every turnover</x:t>
  </x:si>
  <x:si>
    <x:t xml:space="preserve">Do not turn speed into punishment. High-quality sprints need full recovery. The duel work should be competitive, but the main standard is decision plus body position, not just winning by being stronger.</x:t>
  </x:si>
  <x:si>
    <x:t xml:space="preserve">Session 3 — Forward Killer</x:t>
  </x:si>
  <x:si>
    <x:t xml:space="preserve">Goal: keep the striker weapon sharp while training the modern forward: movement, finishing, back-to-goal strength, pressing angles, and recovery after loss.</x:t>
  </x:si>
  <x:si>
    <x:t xml:space="preserve">Movement prep + ball activation</x:t>
  </x:si>
  <x:si>
    <x:t xml:space="preserve">Dynamic movement, light touches, passes into feet</x:t>
  </x:si>
  <x:si>
    <x:t xml:space="preserve">Prepare ankles, hips, hamstrings, and touch.</x:t>
  </x:si>
  <x:si>
    <x:t xml:space="preserve">Ready to finish with control</x:t>
  </x:si>
  <x:si>
    <x:t xml:space="preserve">Movement</x:t>
  </x:si>
  <x:si>
    <x:t xml:space="preserve">Runs before finishing</x:t>
  </x:si>
  <x:si>
    <x:t xml:space="preserve">Cone or parent server; no standing shots</x:t>
  </x:si>
  <x:si>
    <x:t xml:space="preserve">Check away/to, pull off shoulder, curve run, near/far post</x:t>
  </x:si>
  <x:si>
    <x:t xml:space="preserve">Movement creates the goal before the shot.</x:t>
  </x:si>
  <x:si>
    <x:t xml:space="preserve">Every finish starts with movement</x:t>
  </x:si>
  <x:si>
    <x:t xml:space="preserve">Finish</x:t>
  </x:si>
  <x:si>
    <x:t xml:space="preserve">Finishing categories</x:t>
  </x:si>
  <x:si>
    <x:t xml:space="preserve">Goal, mini-goals, or target zones</x:t>
  </x:si>
  <x:si>
    <x:t xml:space="preserve">10 right placement, 10 left placement, 10 power each, 10 one-touch, 10 cut-in, 10 across-goal</x:t>
  </x:si>
  <x:si>
    <x:t xml:space="preserve">Pick a target. Head steady. Hit frame.</x:t>
  </x:si>
  <x:si>
    <x:t xml:space="preserve">Hold</x:t>
  </x:si>
  <x:si>
    <x:t xml:space="preserve">Back-to-goal striker work</x:t>
  </x:si>
  <x:si>
    <x:t xml:space="preserve">Server plays into feet with passive pressure</x:t>
  </x:si>
  <x:si>
    <x:t xml:space="preserve">Shield, bounce, spin, roll defender</x:t>
  </x:si>
  <x:si>
    <x:t xml:space="preserve">Be strong, not stiff. Feel pressure.</x:t>
  </x:si>
  <x:si>
    <x:t xml:space="preserve">Can keep ball and connect next pass</x:t>
  </x:si>
  <x:si>
    <x:t xml:space="preserve">Press</x:t>
  </x:si>
  <x:si>
    <x:t xml:space="preserve">Striker pressing angles</x:t>
  </x:si>
  <x:si>
    <x:t xml:space="preserve">Two cone center backs + one cone keeper</x:t>
  </x:si>
  <x:si>
    <x:t xml:space="preserve">Press with brain, not just legs.</x:t>
  </x:si>
  <x:si>
    <x:t xml:space="preserve">Cuts off one lane while sprinting</x:t>
  </x:si>
  <x:si>
    <x:t xml:space="preserve">Finishing percentage recap</x:t>
  </x:si>
  <x:si>
    <x:t xml:space="preserve">Record shots on frame and misses</x:t>
  </x:si>
  <x:si>
    <x:t xml:space="preserve">Write % in tracker</x:t>
  </x:si>
  <x:si>
    <x:t xml:space="preserve">Track the truth. Do not guess.</x:t>
  </x:si>
  <x:si>
    <x:t xml:space="preserve">Number entered in Score Tracker</x:t>
  </x:si>
  <x:si>
    <x:t xml:space="preserve">A real forward does more than score. He moves before the ball arrives, finishes with both feet, protects the ball under contact, presses with angles, and wins the next action after losing it.</x:t>
  </x:si>
  <x:si>
    <x:t xml:space="preserve">20-Minute Minimum Homework</x:t>
  </x:si>
  <x:si>
    <x:t xml:space="preserve">Use this on low-motivation days. Do not negotiate a full session. Ask him to pick one focus and give 20 clean minutes. The goal is habit, touch count, and confidence.</x:t>
  </x:si>
  <x:si>
    <x:t xml:space="preserve">Work</x:t>
  </x:si>
  <x:si>
    <x:t xml:space="preserve">Options</x:t>
  </x:si>
  <x:si>
    <x:t xml:space="preserve">Parent Line</x:t>
  </x:si>
  <x:si>
    <x:t xml:space="preserve">Juggling</x:t>
  </x:si>
  <x:si>
    <x:t xml:space="preserve">Right foot, left foot, thighs, mixed</x:t>
  </x:si>
  <x:si>
    <x:t xml:space="preserve">Clean touches; record best streak</x:t>
  </x:si>
  <x:si>
    <x:t xml:space="preserve">Beat your score, not your brother.</x:t>
  </x:si>
  <x:si>
    <x:t xml:space="preserve">Wall passing</x:t>
  </x:si>
  <x:si>
    <x:t xml:space="preserve">Two-touch, one-touch, weak foot</x:t>
  </x:si>
  <x:si>
    <x:t xml:space="preserve">Ball on floor; clean return line</x:t>
  </x:si>
  <x:si>
    <x:t xml:space="preserve">Make it look easy.</x:t>
  </x:si>
  <x:si>
    <x:t xml:space="preserve">Ball mastery</x:t>
  </x:si>
  <x:si>
    <x:t xml:space="preserve">Inside-inside, sole rolls, V-pulls, scissors, L-turns</x:t>
  </x:si>
  <x:si>
    <x:t xml:space="preserve">Head up every few touches</x:t>
  </x:si>
  <x:si>
    <x:t xml:space="preserve">Smooth then fast.</x:t>
  </x:si>
  <x:si>
    <x:t xml:space="preserve">First touch or finishing</x:t>
  </x:si>
  <x:si>
    <x:t xml:space="preserve">Wall target, mini goal, touch into space</x:t>
  </x:si>
  <x:si>
    <x:t xml:space="preserve">First touch has a purpose</x:t>
  </x:si>
  <x:si>
    <x:t xml:space="preserve">One clean action at a time.</x:t>
  </x:si>
  <x:si>
    <x:t xml:space="preserve">Motivation Script</x:t>
  </x:si>
  <x:si>
    <x:t xml:space="preserve">Do not say: “You need to train.” Say: “Pick one: finishing, speed, or 1v1s. Twenty minutes.” Give him control inside your standard. End the session while he still has energy.</x:t>
  </x:si>
  <x:si>
    <x:t xml:space="preserve">Enter scores once per week. Pink cells are manual inputs. Blue cells are formulas. Use the trend to see what is improving and what needs attention.</x:t>
  </x:si>
  <x:si>
    <x:t xml:space="preserve">Week</x:t>
  </x:si>
  <x:si>
    <x:t xml:space="preserve">Week Start</x:t>
  </x:si>
  <x:si>
    <x:t xml:space="preserve">Weak-Foot Clean Passes</x:t>
  </x:si>
  <x:si>
    <x:t xml:space="preserve">10 yd Sprint sec</x:t>
  </x:si>
  <x:si>
    <x:t xml:space="preserve">20 yd Sprint sec</x:t>
  </x:si>
  <x:si>
    <x:t xml:space="preserve">Scan Score /10</x:t>
  </x:si>
  <x:si>
    <x:t xml:space="preserve">Sessions Completed</x:t>
  </x:si>
  <x:si>
    <x:t xml:space="preserve">Avg RPE</x:t>
  </x:si>
  <x:si>
    <x:t xml:space="preserve">Weekly Load</x:t>
  </x:si>
  <x:si>
    <x:t xml:space="preserve">Improvement Focus</x:t>
  </x:si>
  <x:si>
    <x:t xml:space="preserve">Session Log — Daily Training Record</x:t>
  </x:si>
  <x:si>
    <x:t xml:space="preserve">Use this after each training day. Training Load = Duration x RPE. Energy/soreness notes help decide when to push and when to back off.</x:t>
  </x:si>
  <x:si>
    <x:t xml:space="preserve">Date</x:t>
  </x:si>
  <x:si>
    <x:t xml:space="preserve">RPE 1-10</x:t>
  </x:si>
  <x:si>
    <x:t xml:space="preserve">Energy Flag</x:t>
  </x:si>
  <x:si>
    <x:t xml:space="preserve">Soreness 1-10</x:t>
  </x:si>
  <x:si>
    <x:t xml:space="preserve">Best Moment</x:t>
  </x:si>
  <x:si>
    <x:t xml:space="preserve">Needs Work</x:t>
  </x:si>
  <x:si>
    <x:t xml:space="preserve">Dad/Coach Notes</x:t>
  </x:si>
  <x:si>
    <x:t xml:space="preserve">Planned</x:t>
  </x:si>
  <x:si>
    <x:t xml:space="preserve">Training References + Source Links</x:t>
  </x:si>
  <x:si>
    <x:t xml:space="preserve">Topic</x:t>
  </x:si>
  <x:si>
    <x:t xml:space="preserve">Why It Matters</x:t>
  </x:si>
  <x:si>
    <x:t xml:space="preserve">Source</x:t>
  </x:si>
  <x:si>
    <x:t xml:space="preserve">URL</x:t>
  </x:si>
  <x:si>
    <x:t xml:space="preserve">Position rotation</x:t>
  </x:si>
  <x:si>
    <x:t xml:space="preserve">Young players benefit from exposure to different positions before being locked into a role.</x:t>
  </x:si>
  <x:si>
    <x:t xml:space="preserve">England Football Learning</x:t>
  </x:si>
  <x:si>
    <x:t xml:space="preserve">https://learn.englandfootball.com/articles-and-resources/coaching/resources/2023/Why-your-players-should-try-different-positions</x:t>
  </x:si>
  <x:si>
    <x:t xml:space="preserve">Position-specific training</x:t>
  </x:si>
  <x:si>
    <x:t xml:space="preserve">Elite development should connect technical actions, role demands, and game-like decisions.</x:t>
  </x:si>
  <x:si>
    <x:t xml:space="preserve">FIFA Training Centre</x:t>
  </x:si>
  <x:si>
    <x:t xml:space="preserve">https://www.fifatrainingcentre.com/en/practice/talent-coach-programme/position-specific-training/developing-players-using-position-specific-training.php</x:t>
  </x:si>
  <x:si>
    <x:t xml:space="preserve">Scanning and first touch</x:t>
  </x:si>
  <x:si>
    <x:t xml:space="preserve">Players should scan before receiving, adjust body orientation, and use first touch to prepare the next action.</x:t>
  </x:si>
  <x:si>
    <x:t xml:space="preserve">https://www.fifatrainingcentre.com/en/practice/talent-coach-programme/position-specific-training/individual-actions-developing-central-midfielders.php</x:t>
  </x:si>
  <x:si>
    <x:t xml:space="preserve">Youth load/rest</x:t>
  </x:si>
  <x:si>
    <x:t xml:space="preserve">Protect against burnout and overuse by maintaining rest and avoiding too many intense sport-specific days.</x:t>
  </x:si>
  <x:si>
    <x:t xml:space="preserve">American Academy of Pediatrics</x:t>
  </x:si>
  <x:si>
    <x:t xml:space="preserve">https://publications.aap.org/aapnews/news/27833/Professionalization-of-youth-sports-can-lead-to</x:t>
  </x:si>
  <x:si>
    <x:t xml:space="preserve">Modern defenders</x:t>
  </x:si>
  <x:si>
    <x:t xml:space="preserve">Modern defenders must defend space, pass forward, and contribute to attacks.</x:t>
  </x:si>
  <x:si>
    <x:t xml:space="preserve">UEFA Technical Observers</x:t>
  </x:si>
  <x:si>
    <x:t xml:space="preserve">https://www.uefa.com/uefachampionsleague/news/028a-1a1bf7e6d9ae-9ea32505034e-1000--champions-league-performance-insights-going-1v1/</x:t>
  </x:si>
  <x:si>
    <x:t xml:space="preserve">Green</x:t>
  </x:si>
  <x:si>
    <x:t xml:space="preserve">Done</x:t>
  </x:si>
  <x:si>
    <x:t xml:space="preserve">Yellow</x:t>
  </x:si>
  <x:si>
    <x:t xml:space="preserve">Skipped</x:t>
  </x:si>
  <x:si>
    <x:t xml:space="preserve">Red</x:t>
  </x:si>
  <x:si>
    <x:t xml:space="preserve">Modified</x:t>
  </x:si>
</x:sst>
</file>

<file path=xl/styles.xml><?xml version="1.0" encoding="utf-8"?>
<x:styleSheet xmlns:x="http://schemas.openxmlformats.org/spreadsheetml/2006/main">
  <x:fonts count="7">
    <x:font>
      <x:sz val="11"/>
      <x:name val="Carlito"/>
    </x:font>
    <x:font>
      <x:b/>
      <x:sz val="11"/>
      <x:color rgb="FFFFFFFF"/>
      <x:name val="Carlito"/>
    </x:font>
    <x:font>
      <x:b/>
      <x:sz val="16"/>
      <x:color rgb="FFFFFFFF"/>
      <x:name val="Carlito"/>
    </x:font>
    <x:font>
      <x:sz val="11"/>
      <x:color rgb="FF0F172A"/>
      <x:name val="Carlito"/>
    </x:font>
    <x:font>
      <x:b/>
      <x:sz val="12"/>
      <x:color rgb="FFFFFFFF"/>
      <x:name val="Carlito"/>
    </x:font>
    <x:font>
      <x:b/>
      <x:sz val="11"/>
      <x:color rgb="FF0F172A"/>
      <x:name val="Carlito"/>
    </x:font>
    <x:font>
      <x:sz val="11"/>
      <x:color theme="10"/>
      <x:name val="Carlito"/>
    </x:font>
  </x:fonts>
  <x:fills count="9">
    <x:fill>
      <x:patternFill patternType="none"/>
    </x:fill>
    <x:fill>
      <x:patternFill patternType="gray125"/>
    </x:fill>
    <x:fill>
      <x:patternFill patternType="solid">
        <x:fgColor rgb="FF334155"/>
      </x:patternFill>
    </x:fill>
    <x:fill>
      <x:patternFill patternType="solid">
        <x:fgColor rgb="FF0F172A"/>
      </x:patternFill>
    </x:fill>
    <x:fill>
      <x:patternFill patternType="solid">
        <x:fgColor rgb="FFFEF3C7"/>
      </x:patternFill>
    </x:fill>
    <x:fill>
      <x:patternFill patternType="solid">
        <x:fgColor rgb="FFEEF2FF"/>
      </x:patternFill>
    </x:fill>
    <x:fill>
      <x:patternFill patternType="solid">
        <x:fgColor rgb="FF0F766E"/>
      </x:patternFill>
    </x:fill>
    <x:fill>
      <x:patternFill patternType="solid">
        <x:fgColor rgb="FFFDF2F8"/>
      </x:patternFill>
    </x:fill>
    <x:fill>
      <x:patternFill patternType="solid">
        <x:fgColor rgb="FFE2E8F0"/>
      </x:patternFill>
    </x:fill>
  </x:fills>
  <x:borders count="1">
    <x:border/>
  </x:borders>
  <x:cellStyleXfs count="2">
    <x:xf numFmtId="0" fontId="0" fillId="0" borderId="0"/>
    <x:xf numFmtId="0" fontId="6" fillId="0" borderId="0" applyNumberFormat="0" applyFill="0" applyBorder="0" applyAlignment="0" applyProtection="0"/>
  </x:cellStyleXfs>
  <x:cellXfs count="17">
    <x:xf numFmtId="0" fontId="0" fillId="0" borderId="0" xfId="0"/>
    <x:xf numFmtId="0" fontId="1" fillId="2" borderId="0" xfId="0" applyFont="1" applyFill="1" applyAlignment="1">
      <x:alignment horizontal="center" vertical="top" wrapText="1"/>
    </x:xf>
    <x:xf numFmtId="0" fontId="0" fillId="0" borderId="0" xfId="0" applyAlignment="1">
      <x:alignment vertical="top" wrapText="1"/>
    </x:xf>
    <x:xf numFmtId="0" fontId="3" fillId="5" borderId="0" xfId="0" applyFont="1" applyFill="1" applyAlignment="1">
      <x:alignment vertical="top" wrapText="1"/>
    </x:xf>
    <x:xf numFmtId="14" fontId="0" fillId="0" borderId="0" xfId="0" applyNumberFormat="1" applyAlignment="1">
      <x:alignment vertical="top" wrapText="1"/>
    </x:xf>
    <x:xf numFmtId="0" fontId="3" fillId="7" borderId="0" xfId="0" applyFont="1" applyFill="1" applyAlignment="1">
      <x:alignment vertical="top" wrapText="1"/>
    </x:xf>
    <x:xf numFmtId="2" fontId="3" fillId="7" borderId="0" xfId="0" applyNumberFormat="1" applyFont="1" applyFill="1" applyAlignment="1">
      <x:alignment vertical="top" wrapText="1"/>
    </x:xf>
    <x:xf numFmtId="9" fontId="3" fillId="7" borderId="0" xfId="0" applyNumberFormat="1" applyFont="1" applyFill="1" applyAlignment="1">
      <x:alignment vertical="top" wrapText="1"/>
    </x:xf>
    <x:xf numFmtId="1" fontId="3" fillId="7" borderId="0" xfId="0" applyNumberFormat="1" applyFont="1" applyFill="1" applyAlignment="1">
      <x:alignment vertical="top" wrapText="1"/>
    </x:xf>
    <x:xf numFmtId="1" fontId="3" fillId="5" borderId="0" xfId="0" applyNumberFormat="1" applyFont="1" applyFill="1" applyAlignment="1">
      <x:alignment vertical="top" wrapText="1"/>
    </x:xf>
    <x:xf numFmtId="0" fontId="5" fillId="8" borderId="0" xfId="0" applyFont="1" applyFill="1" applyAlignment="1">
      <x:alignment horizontal="center" vertical="top" wrapText="1"/>
    </x:xf>
    <x:xf numFmtId="9" fontId="3" fillId="5" borderId="0" xfId="0" applyNumberFormat="1" applyFont="1" applyFill="1" applyAlignment="1">
      <x:alignment vertical="top" wrapText="1"/>
    </x:xf>
    <x:xf numFmtId="2" fontId="3" fillId="5" borderId="0" xfId="0" applyNumberFormat="1" applyFont="1" applyFill="1" applyAlignment="1">
      <x:alignment vertical="top" wrapText="1"/>
    </x:xf>
    <x:xf numFmtId="0" fontId="2" fillId="3" borderId="0" xfId="0" applyFont="1" applyFill="1" applyAlignment="1">
      <x:alignment horizontal="center" vertical="top" wrapText="1"/>
    </x:xf>
    <x:xf numFmtId="0" fontId="4" fillId="6" borderId="0" xfId="0" applyFont="1" applyFill="1" applyAlignment="1">
      <x:alignment horizontal="center" vertical="top" wrapText="1"/>
    </x:xf>
    <x:xf numFmtId="0" fontId="3" fillId="4" borderId="0" xfId="0" applyFont="1" applyFill="1" applyAlignment="1">
      <x:alignment vertical="top" wrapText="1"/>
    </x:xf>
    <x:xf numFmtId="0" fontId="6" fillId="0" borderId="0" xfId="1" applyAlignment="1">
      <x:alignment vertical="top" wrapText="1"/>
    </x:xf>
  </x:cellXfs>
  <x:cellStyles count="2">
    <x:cellStyle name="Hyperlink" xfId="1"/>
    <x:cellStyle name="Normal" xfId="0"/>
  </x:cellStyles>
  <x:dxfs count="9">
    <x:dxf>
      <x:fill>
        <x:patternFill>
          <x:bgColor rgb="FFDCFCE7"/>
        </x:patternFill>
      </x:fill>
    </x:dxf>
    <x:dxf>
      <x:fill>
        <x:patternFill>
          <x:bgColor rgb="FFFEF3C7"/>
        </x:patternFill>
      </x:fill>
    </x:dxf>
    <x:dxf>
      <x:fill>
        <x:patternFill>
          <x:bgColor rgb="FFFEE2E2"/>
        </x:patternFill>
      </x:fill>
    </x:dxf>
    <x:dxf>
      <x:fill>
        <x:patternFill>
          <x:bgColor rgb="FFFEE2E2"/>
        </x:patternFill>
      </x:fill>
    </x:dxf>
    <x:dxf>
      <x:fill>
        <x:patternFill>
          <x:bgColor rgb="FFFEF3C7"/>
        </x:patternFill>
      </x:fill>
    </x:dxf>
    <x:dxf>
      <x:fill>
        <x:patternFill>
          <x:bgColor rgb="FFDCFCE7"/>
        </x:patternFill>
      </x:fill>
    </x:dxf>
    <x:dxf>
      <x:fill>
        <x:patternFill>
          <x:bgColor rgb="FFFEE2E2"/>
        </x:patternFill>
      </x:fill>
    </x:dxf>
    <x:dxf>
      <x:fill>
        <x:patternFill>
          <x:bgColor rgb="FFFEE2E2"/>
        </x:patternFill>
      </x:fill>
    </x:dxf>
    <x:dxf>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dfc0f053114fd4" /><Relationship Type="http://schemas.openxmlformats.org/officeDocument/2006/relationships/theme" Target="/xl/theme/theme1.xml" Id="Rfd5eb9abc71f400c" /><Relationship Type="http://schemas.openxmlformats.org/officeDocument/2006/relationships/sharedStrings" Target="/xl/sharedStrings.xml" Id="R1db40e7b9df540ca" /><Relationship Type="http://schemas.openxmlformats.org/officeDocument/2006/relationships/worksheet" Target="/xl/worksheets/sheet1.xml" Id="R599f9d2ccf954602" /><Relationship Type="http://schemas.openxmlformats.org/officeDocument/2006/relationships/worksheet" Target="/xl/worksheets/sheet2.xml" Id="R4e9a5a16a7224f82" /><Relationship Type="http://schemas.openxmlformats.org/officeDocument/2006/relationships/worksheet" Target="/xl/worksheets/sheet3.xml" Id="R0107804dc8114919" /><Relationship Type="http://schemas.openxmlformats.org/officeDocument/2006/relationships/worksheet" Target="/xl/worksheets/sheet4.xml" Id="R21962d639d08469b" /><Relationship Type="http://schemas.openxmlformats.org/officeDocument/2006/relationships/worksheet" Target="/xl/worksheets/sheet5.xml" Id="Rbebdc77951c8460d" /><Relationship Type="http://schemas.openxmlformats.org/officeDocument/2006/relationships/worksheet" Target="/xl/worksheets/sheet6.xml" Id="Rd621dc8e19334c55" /><Relationship Type="http://schemas.openxmlformats.org/officeDocument/2006/relationships/worksheet" Target="/xl/worksheets/sheet7.xml" Id="R2439d9b4b5b04f52" /><Relationship Type="http://schemas.openxmlformats.org/officeDocument/2006/relationships/worksheet" Target="/xl/worksheets/sheet8.xml" Id="R630bfda7b1e2416e" /><Relationship Type="http://schemas.openxmlformats.org/officeDocument/2006/relationships/worksheet" Target="/xl/worksheets/sheet9.xml" Id="Ra3e84967a9c74ac0" /><Relationship Type="http://schemas.openxmlformats.org/officeDocument/2006/relationships/worksheet" Target="/xl/worksheets/sheet10.xml" Id="R6c02a888a02c4a74" /></Relationships>
</file>

<file path=xl/drawings/_rels/drawing1.xml.rels>&#65279;<?xml version="1.0" encoding="utf-8"?><Relationships xmlns="http://schemas.openxmlformats.org/package/2006/relationships"><Relationship Type="http://schemas.openxmlformats.org/officeDocument/2006/relationships/chart" Target="/xl/drawings/charts/chart1.xml" Id="R9da0b62bcb8c448e" /></Relationships>
</file>

<file path=xl/drawings/_rels/drawing2.xml.rels>&#65279;<?xml version="1.0" encoding="utf-8"?><Relationships xmlns="http://schemas.openxmlformats.org/package/2006/relationships"><Relationship Type="http://schemas.openxmlformats.org/officeDocument/2006/relationships/chart" Target="/xl/drawings/charts/chart2.xml" Id="Rd9500cae17ad4ccf" /></Relationships>
</file>

<file path=xl/drawings/charts/chart1.xml><?xml version="1.0" encoding="utf-8"?>
<c:chartSpace xmlns:c="http://schemas.openxmlformats.org/drawingml/2006/chart">
  <c:lang val="en-US"/>
  <c:roundedCorners val="0"/>
  <c:style val="2"/>
  <c:chart>
    <c:autoTitleDeleted val="1"/>
    <c:plotArea>
      <c:barChart>
        <c:barDir val="col"/>
        <c:grouping val="clustered"/>
        <c:varyColors val="0"/>
        <c:ser>
          <c:idx val="0"/>
          <c:order val="0"/>
          <c:tx>
            <c:v>Load</c:v>
          </c:tx>
          <c:cat>
            <c:strRef>
              <c:f>'Weekly Plan'!$A$5:$A$11</c:f>
              <c:strCache>
                <c:ptCount val="7"/>
                <c:pt idx="0">
                  <c:v>Monday</c:v>
                </c:pt>
                <c:pt idx="1">
                  <c:v>Tuesday</c:v>
                </c:pt>
                <c:pt idx="2">
                  <c:v>Wednesday</c:v>
                </c:pt>
                <c:pt idx="3">
                  <c:v>Thursday</c:v>
                </c:pt>
                <c:pt idx="4">
                  <c:v>Friday</c:v>
                </c:pt>
                <c:pt idx="5">
                  <c:v>Saturday</c:v>
                </c:pt>
                <c:pt idx="6">
                  <c:v>Sunday</c:v>
                </c:pt>
              </c:strCache>
            </c:strRef>
          </c:cat>
          <c:val>
            <c:numRef>
              <c:f>'Weekly Plan'!$E$5:$E$11</c:f>
              <c:numCache>
                <c:formatCode>General</c:formatCode>
                <c:ptCount val="7"/>
                <c:pt idx="0">
                  <c:v>390</c:v>
                </c:pt>
                <c:pt idx="1">
                  <c:v>630</c:v>
                </c:pt>
                <c:pt idx="2">
                  <c:v>480</c:v>
                </c:pt>
                <c:pt idx="3">
                  <c:v>60</c:v>
                </c:pt>
                <c:pt idx="4">
                  <c:v>455</c:v>
                </c:pt>
                <c:pt idx="5">
                  <c:v>600</c:v>
                </c:pt>
                <c:pt idx="6">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autoTitleDeleted val="1"/>
    <c:plotArea>
      <c:barChart>
        <c:barDir val="col"/>
        <c:grouping val="clustered"/>
        <c:varyColors val="0"/>
        <c:ser>
          <c:idx val="0"/>
          <c:order val="0"/>
          <c:tx>
            <c:v>Training Load</c:v>
          </c:tx>
          <c:cat>
            <c:strRef>
              <c:f>'Weekly Plan'!$A$5:$A$11</c:f>
              <c:strCache>
                <c:ptCount val="7"/>
                <c:pt idx="0">
                  <c:v>Monday</c:v>
                </c:pt>
                <c:pt idx="1">
                  <c:v>Tuesday</c:v>
                </c:pt>
                <c:pt idx="2">
                  <c:v>Wednesday</c:v>
                </c:pt>
                <c:pt idx="3">
                  <c:v>Thursday</c:v>
                </c:pt>
                <c:pt idx="4">
                  <c:v>Friday</c:v>
                </c:pt>
                <c:pt idx="5">
                  <c:v>Saturday</c:v>
                </c:pt>
                <c:pt idx="6">
                  <c:v>Sunday</c:v>
                </c:pt>
              </c:strCache>
            </c:strRef>
          </c:cat>
          <c:val>
            <c:numRef>
              <c:f>'Weekly Plan'!$E$5:$E$11</c:f>
              <c:numCache>
                <c:formatCode>General</c:formatCode>
                <c:ptCount val="7"/>
                <c:pt idx="0">
                  <c:v>390</c:v>
                </c:pt>
                <c:pt idx="1">
                  <c:v>630</c:v>
                </c:pt>
                <c:pt idx="2">
                  <c:v>480</c:v>
                </c:pt>
                <c:pt idx="3">
                  <c:v>60</c:v>
                </c:pt>
                <c:pt idx="4">
                  <c:v>455</c:v>
                </c:pt>
                <c:pt idx="5">
                  <c:v>600</c:v>
                </c:pt>
                <c:pt idx="6">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23</xdr:row>
      <xdr:rowOff>0</xdr:rowOff>
    </xdr:from>
    <xdr:to>
      <xdr:col>8</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a0b62bcb8c448e"/>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12</xdr:row>
      <xdr:rowOff>0</xdr:rowOff>
    </xdr:from>
    <xdr:to>
      <xdr:col>10</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9500cae17ad4ccf"/>
        </a:graphicData>
      </a:graphic>
    </xdr:graphicFrame>
    <xdr:clientData/>
  </xdr:twoCellAnchor>
</xdr:wsDr>
</file>

<file path=xl/tables/table1.xml><?xml version="1.0" encoding="utf-8"?>
<x:table xmlns:x="http://schemas.openxmlformats.org/spreadsheetml/2006/main" id="1" name="SessionIQTable" displayName="SessionIQTable" ref="A5:G11">
  <x:tableColumns count="7">
    <x:tableColumn id="1" name="Block"/>
    <x:tableColumn id="2" name="Minutes"/>
    <x:tableColumn id="3" name="Drill"/>
    <x:tableColumn id="4" name="Setup"/>
    <x:tableColumn id="5" name="Reps / Rules"/>
    <x:tableColumn id="6" name="Coaching Cues"/>
    <x:tableColumn id="7" name="Success Standard"/>
  </x:tableColumns>
  <x:tableStyleInfo name="TableStyleMedium2" showFirstColumn="0" showLastColumn="0" showRowStripes="1" showColumnStripes="0"/>
</x:table>
</file>

<file path=xl/tables/table2.xml><?xml version="1.0" encoding="utf-8"?>
<x:table xmlns:x="http://schemas.openxmlformats.org/spreadsheetml/2006/main" id="2" name="SessionDuelsTable" displayName="SessionDuelsTable" ref="A5:G11">
  <x:tableColumns count="7">
    <x:tableColumn id="1" name="Block"/>
    <x:tableColumn id="2" name="Minutes"/>
    <x:tableColumn id="3" name="Drill"/>
    <x:tableColumn id="4" name="Setup"/>
    <x:tableColumn id="5" name="Reps / Rules"/>
    <x:tableColumn id="6" name="Coaching Cues"/>
    <x:tableColumn id="7" name="Success Standard"/>
  </x:tableColumns>
  <x:tableStyleInfo name="TableStyleMedium2" showFirstColumn="0" showLastColumn="0" showRowStripes="1" showColumnStripes="0"/>
</x:table>
</file>

<file path=xl/tables/table3.xml><?xml version="1.0" encoding="utf-8"?>
<x:table xmlns:x="http://schemas.openxmlformats.org/spreadsheetml/2006/main" id="3" name="SessionForwardTable" displayName="SessionForwardTable" ref="A5:G11">
  <x:tableColumns count="7">
    <x:tableColumn id="1" name="Block"/>
    <x:tableColumn id="2" name="Minutes"/>
    <x:tableColumn id="3" name="Drill"/>
    <x:tableColumn id="4" name="Setup"/>
    <x:tableColumn id="5" name="Reps / Rules"/>
    <x:tableColumn id="6" name="Coaching Cues"/>
    <x:tableColumn id="7" name="Success Standard"/>
  </x:tableColumns>
  <x:tableStyleInfo name="TableStyleMedium2" showFirstColumn="0" showLastColumn="0" showRowStripes="1" showColumnStripes="0"/>
</x:table>
</file>

<file path=xl/tables/table4.xml><?xml version="1.0" encoding="utf-8"?>
<x:table xmlns:x="http://schemas.openxmlformats.org/spreadsheetml/2006/main" id="4" name="HomeworkTable" displayName="HomeworkTable" ref="A5:F9">
  <x:tableColumns count="6">
    <x:tableColumn id="1" name="Block"/>
    <x:tableColumn id="2" name="Minutes"/>
    <x:tableColumn id="3" name="Work"/>
    <x:tableColumn id="4" name="Options"/>
    <x:tableColumn id="5" name="Standard"/>
    <x:tableColumn id="6" name="Parent Line"/>
  </x:tableColumns>
  <x:tableStyleInfo name="TableStyleMedium2" showFirstColumn="0" showLastColumn="0" showRowStripes="1" showColumnStripes="0"/>
</x:table>
</file>

<file path=xl/tables/table5.xml><?xml version="1.0" encoding="utf-8"?>
<x:table xmlns:x="http://schemas.openxmlformats.org/spreadsheetml/2006/main" id="5" name="ScoreTrackerTable" displayName="ScoreTrackerTable" ref="A5:P17">
  <x:tableColumns count="16">
    <x:tableColumn id="1" name="Week"/>
    <x:tableColumn id="2" name="Week Start"/>
    <x:tableColumn id="3" name="Juggling Record"/>
    <x:tableColumn id="4" name="Weak-Foot Clean Passes"/>
    <x:tableColumn id="5" name="10 yd Sprint sec"/>
    <x:tableColumn id="6" name="20 yd Sprint sec"/>
    <x:tableColumn id="7" name="Finishing On Frame %"/>
    <x:tableColumn id="8" name="1v1 Def Win %"/>
    <x:tableColumn id="9" name="1v1 Attack Win %"/>
    <x:tableColumn id="10" name="Scan Score /10"/>
    <x:tableColumn id="11" name="Sessions Completed"/>
    <x:tableColumn id="12" name="Avg RPE"/>
    <x:tableColumn id="13" name="Weekly Load"/>
    <x:tableColumn id="14" name="Notes"/>
    <x:tableColumn id="15" name="Overall Score"/>
    <x:tableColumn id="16" name="Improvement Focus"/>
  </x:tableColumns>
  <x:tableStyleInfo name="TableStyleMedium2" showFirstColumn="0" showLastColumn="0" showRowStripes="1" showColumnStripes="0"/>
</x:table>
</file>

<file path=xl/tables/table6.xml><?xml version="1.0" encoding="utf-8"?>
<x:table xmlns:x="http://schemas.openxmlformats.org/spreadsheetml/2006/main" id="6" name="SessionLogTable" displayName="SessionLogTable" ref="A5:L105">
  <x:tableColumns count="12">
    <x:tableColumn id="1" name="Date"/>
    <x:tableColumn id="2" name="Day"/>
    <x:tableColumn id="3" name="Session Type"/>
    <x:tableColumn id="4" name="Status"/>
    <x:tableColumn id="5" name="Duration Min"/>
    <x:tableColumn id="6" name="RPE 1-10"/>
    <x:tableColumn id="7" name="Training Load"/>
    <x:tableColumn id="8" name="Energy Flag"/>
    <x:tableColumn id="9" name="Soreness 1-10"/>
    <x:tableColumn id="10" name="Best Moment"/>
    <x:tableColumn id="11" name="Needs Work"/>
    <x:tableColumn id="12" name="Dad/Coach Notes"/>
  </x:tableColumns>
  <x:tableStyleInfo name="TableStyleMedium2" showFirstColumn="0" showLastColumn="0" showRowStripes="1" showColumnStripes="0"/>
</x:table>
</file>

<file path=xl/tables/table7.xml><?xml version="1.0" encoding="utf-8"?>
<x:table xmlns:x="http://schemas.openxmlformats.org/spreadsheetml/2006/main" id="7" name="ReferencesTable" displayName="ReferencesTable" ref="A3:D8">
  <x:tableColumns count="4">
    <x:tableColumn id="1" name="Topic"/>
    <x:tableColumn id="2" name="Why It Matters"/>
    <x:tableColumn id="3" name="Source"/>
    <x:tableColumn id="4"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ddd8ceb09234c90" /></Relationships>
</file>

<file path=xl/worksheets/_rels/sheet2.xml.rels>&#65279;<?xml version="1.0" encoding="utf-8"?><Relationships xmlns="http://schemas.openxmlformats.org/package/2006/relationships"><Relationship Type="http://schemas.openxmlformats.org/officeDocument/2006/relationships/drawing" Target="/xl/drawings/drawing2.xml" Id="R216bc4fbcf8d45f1" /></Relationships>
</file>

<file path=xl/worksheets/_rels/sheet3.xml.rels>&#65279;<?xml version="1.0" encoding="utf-8"?><Relationships xmlns="http://schemas.openxmlformats.org/package/2006/relationships"><Relationship Type="http://schemas.openxmlformats.org/officeDocument/2006/relationships/table" Target="/xl/tables/table1.xml" Id="R0135cd2536514e69" /></Relationships>
</file>

<file path=xl/worksheets/_rels/sheet4.xml.rels>&#65279;<?xml version="1.0" encoding="utf-8"?><Relationships xmlns="http://schemas.openxmlformats.org/package/2006/relationships"><Relationship Type="http://schemas.openxmlformats.org/officeDocument/2006/relationships/table" Target="/xl/tables/table2.xml" Id="Rf004751f78a54888" /></Relationships>
</file>

<file path=xl/worksheets/_rels/sheet5.xml.rels>&#65279;<?xml version="1.0" encoding="utf-8"?><Relationships xmlns="http://schemas.openxmlformats.org/package/2006/relationships"><Relationship Type="http://schemas.openxmlformats.org/officeDocument/2006/relationships/table" Target="/xl/tables/table3.xml" Id="R4a1f4e000cf548bd" /></Relationships>
</file>

<file path=xl/worksheets/_rels/sheet6.xml.rels>&#65279;<?xml version="1.0" encoding="utf-8"?><Relationships xmlns="http://schemas.openxmlformats.org/package/2006/relationships"><Relationship Type="http://schemas.openxmlformats.org/officeDocument/2006/relationships/table" Target="/xl/tables/table4.xml" Id="R0eff36aa0b43498e" /></Relationships>
</file>

<file path=xl/worksheets/_rels/sheet7.xml.rels>&#65279;<?xml version="1.0" encoding="utf-8"?><Relationships xmlns="http://schemas.openxmlformats.org/package/2006/relationships"><Relationship Type="http://schemas.openxmlformats.org/officeDocument/2006/relationships/table" Target="/xl/tables/table5.xml" Id="R85c6671665f64da8" /></Relationships>
</file>

<file path=xl/worksheets/_rels/sheet8.xml.rels>&#65279;<?xml version="1.0" encoding="utf-8"?><Relationships xmlns="http://schemas.openxmlformats.org/package/2006/relationships"><Relationship Type="http://schemas.openxmlformats.org/officeDocument/2006/relationships/table" Target="/xl/tables/table6.xml" Id="R29d397908c2b4807" /></Relationships>
</file>

<file path=xl/worksheets/_rels/sheet9.xml.rels>&#65279;<?xml version="1.0" encoding="utf-8"?><Relationships xmlns="http://schemas.openxmlformats.org/package/2006/relationships"><Relationship Type="http://schemas.openxmlformats.org/officeDocument/2006/relationships/hyperlink" Target="https://learn.englandfootball.com/articles-and-resources/coaching/resources/2023/Why-your-players-should-try-different-positions" TargetMode="External" Id="R6c7b45ac246a48e5" /><Relationship Type="http://schemas.openxmlformats.org/officeDocument/2006/relationships/hyperlink" Target="https://www.fifatrainingcentre.com/en/practice/talent-coach-programme/position-specific-training/developing-players-using-position-specific-training.php" TargetMode="External" Id="Rfd2cfd306ad046ca" /><Relationship Type="http://schemas.openxmlformats.org/officeDocument/2006/relationships/table" Target="/xl/tables/table7.xml" Id="R8121d235eb6d4325" /></Relationships>
</file>

<file path=xl/worksheets/sheet1.xml><?xml version="1.0" encoding="utf-8"?>
<x:worksheet xmlns:x="http://schemas.openxmlformats.org/spreadsheetml/2006/main">
  <x:sheetFormatPr defaultRowHeight="14.25"/>
  <x:cols>
    <x:col min="1" max="1" width="20" customWidth="1"/>
    <x:col min="2" max="2" width="22" customWidth="1"/>
    <x:col min="3" max="3" width="30" customWidth="1"/>
    <x:col min="4" max="5" width="20" customWidth="1"/>
    <x:col min="6" max="6" width="22" customWidth="1"/>
    <x:col min="7" max="8" width="24" customWidth="1"/>
  </x:cols>
  <x:sheetData>
    <x:row r="1" ht="30" customHeight="1">
      <x:c r="A1" s="13" t="str">
        <x:v>Total Futball Workout Command Center</x:v>
      </x:c>
      <x:c r="B1" s="13"/>
      <x:c r="C1" s="13"/>
      <x:c r="D1" s="13"/>
      <x:c r="E1" s="13"/>
      <x:c r="F1" s="13"/>
      <x:c r="G1" s="13"/>
      <x:c r="H1" s="13"/>
      <x:c r="I1" s="2"/>
      <x:c r="J1" s="2"/>
      <x:c r="K1" s="2"/>
      <x:c r="L1" s="2"/>
      <x:c r="M1" s="2"/>
      <x:c r="N1" s="2"/>
      <x:c r="O1" s="2"/>
      <x:c r="P1" s="2"/>
      <x:c r="Q1" s="2"/>
      <x:c r="R1" s="2"/>
      <x:c r="S1" s="2"/>
      <x:c r="T1" s="2"/>
      <x:c r="U1" s="2"/>
      <x:c r="V1" s="2"/>
      <x:c r="W1" s="2"/>
      <x:c r="X1" s="2"/>
      <x:c r="Y1" s="2"/>
      <x:c r="Z1" s="2"/>
    </x:row>
    <x:row r="2">
      <x:c r="A2" s="2"/>
      <x:c r="B2" s="2"/>
      <x:c r="C2" s="2"/>
      <x:c r="D2" s="2"/>
      <x:c r="E2" s="2"/>
      <x:c r="F2" s="2"/>
      <x:c r="G2" s="2"/>
      <x:c r="H2" s="2"/>
      <x:c r="I2" s="2"/>
      <x:c r="J2" s="2"/>
      <x:c r="K2" s="2"/>
      <x:c r="L2" s="2"/>
      <x:c r="M2" s="2"/>
      <x:c r="N2" s="2"/>
      <x:c r="O2" s="2"/>
      <x:c r="P2" s="2"/>
      <x:c r="Q2" s="2"/>
      <x:c r="R2" s="2"/>
      <x:c r="S2" s="2"/>
      <x:c r="T2" s="2"/>
      <x:c r="U2" s="2"/>
      <x:c r="V2" s="2"/>
      <x:c r="W2" s="2"/>
      <x:c r="X2" s="2"/>
      <x:c r="Y2" s="2"/>
      <x:c r="Z2" s="2"/>
    </x:row>
    <x:row r="3" ht="21.950000762939453" customHeight="1">
      <x:c r="A3" s="10" t="s">
        <x:v>0</x:v>
      </x:c>
      <x:c r="B3" s="2" t="str">
        <x:v>Team</x:v>
      </x:c>
      <x:c r="C3" s="2"/>
      <x:c r="D3" s="14" t="s">
        <x:v>1</x:v>
      </x:c>
      <x:c r="E3" s="14"/>
      <x:c r="F3" s="14"/>
      <x:c r="G3" s="14"/>
      <x:c r="H3" s="14"/>
      <x:c r="I3" s="2"/>
      <x:c r="J3" s="2"/>
      <x:c r="K3" s="2"/>
      <x:c r="L3" s="2"/>
      <x:c r="M3" s="2"/>
      <x:c r="N3" s="2"/>
      <x:c r="O3" s="2"/>
      <x:c r="P3" s="2"/>
      <x:c r="Q3" s="2"/>
      <x:c r="R3" s="2"/>
      <x:c r="S3" s="2"/>
      <x:c r="T3" s="2"/>
      <x:c r="U3" s="2"/>
      <x:c r="V3" s="2"/>
      <x:c r="W3" s="2"/>
      <x:c r="X3" s="2"/>
      <x:c r="Y3" s="2"/>
      <x:c r="Z3" s="2"/>
    </x:row>
    <x:row r="4" ht="80.0999984741211" customHeight="1">
      <x:c r="A4" s="10" t="s">
        <x:v>2</x:v>
      </x:c>
      <x:c r="B4" s="2" t="str">
        <x:v>Total Futball athlete: score, press, defend, create, win duels</x:v>
      </x:c>
      <x:c r="C4" s="2"/>
      <x:c r="D4" s="15" t="s">
        <x:v>3</x:v>
      </x:c>
      <x:c r="E4" s="15"/>
      <x:c r="F4" s="15"/>
      <x:c r="G4" s="15"/>
      <x:c r="H4" s="15"/>
      <x:c r="I4" s="2"/>
      <x:c r="J4" s="2"/>
      <x:c r="K4" s="2"/>
      <x:c r="L4" s="2"/>
      <x:c r="M4" s="2"/>
      <x:c r="N4" s="2"/>
      <x:c r="O4" s="2"/>
      <x:c r="P4" s="2"/>
      <x:c r="Q4" s="2"/>
      <x:c r="R4" s="2"/>
      <x:c r="S4" s="2"/>
      <x:c r="T4" s="2"/>
      <x:c r="U4" s="2"/>
      <x:c r="V4" s="2"/>
      <x:c r="W4" s="2"/>
      <x:c r="X4" s="2"/>
      <x:c r="Y4" s="2"/>
      <x:c r="Z4" s="2"/>
    </x:row>
    <x:row r="5" ht="80.0999984741211" customHeight="1">
      <x:c r="A5" s="10" t="s">
        <x:v>4</x:v>
      </x:c>
      <x:c r="B5" s="2" t="s">
        <x:v>5</x:v>
      </x:c>
      <x:c r="C5" s="2"/>
      <x:c r="D5" s="15"/>
      <x:c r="E5" s="15"/>
      <x:c r="F5" s="15"/>
      <x:c r="G5" s="15"/>
      <x:c r="H5" s="15"/>
      <x:c r="I5" s="2"/>
      <x:c r="J5" s="2"/>
      <x:c r="K5" s="2"/>
      <x:c r="L5" s="2"/>
      <x:c r="M5" s="2"/>
      <x:c r="N5" s="2"/>
      <x:c r="O5" s="2"/>
      <x:c r="P5" s="2"/>
      <x:c r="Q5" s="2"/>
      <x:c r="R5" s="2"/>
      <x:c r="S5" s="2"/>
      <x:c r="T5" s="2"/>
      <x:c r="U5" s="2"/>
      <x:c r="V5" s="2"/>
      <x:c r="W5" s="2"/>
      <x:c r="X5" s="2"/>
      <x:c r="Y5" s="2"/>
      <x:c r="Z5" s="2"/>
    </x:row>
    <x:row r="6" ht="80.0999984741211" customHeight="1">
      <x:c r="A6" s="10" t="s">
        <x:v>6</x:v>
      </x:c>
      <x:c r="B6" s="2" t="s">
        <x:v>7</x:v>
      </x:c>
      <x:c r="C6" s="2"/>
      <x:c r="D6" s="15"/>
      <x:c r="E6" s="15"/>
      <x:c r="F6" s="15"/>
      <x:c r="G6" s="15"/>
      <x:c r="H6" s="15"/>
      <x:c r="I6" s="2"/>
      <x:c r="J6" s="2"/>
      <x:c r="K6" s="2"/>
      <x:c r="L6" s="2"/>
      <x:c r="M6" s="2"/>
      <x:c r="N6" s="2"/>
      <x:c r="O6" s="2"/>
      <x:c r="P6" s="2"/>
      <x:c r="Q6" s="2"/>
      <x:c r="R6" s="2"/>
      <x:c r="S6" s="2"/>
      <x:c r="T6" s="2"/>
      <x:c r="U6" s="2"/>
      <x:c r="V6" s="2"/>
      <x:c r="W6" s="2"/>
      <x:c r="X6" s="2"/>
      <x:c r="Y6" s="2"/>
      <x:c r="Z6" s="2"/>
    </x:row>
    <x:row r="7" ht="80.0999984741211" customHeight="1">
      <x:c r="A7" s="2"/>
      <x:c r="B7" s="2"/>
      <x:c r="C7" s="2"/>
      <x:c r="D7" s="15"/>
      <x:c r="E7" s="15"/>
      <x:c r="F7" s="15"/>
      <x:c r="G7" s="15"/>
      <x:c r="H7" s="15"/>
      <x:c r="I7" s="2"/>
      <x:c r="J7" s="2"/>
      <x:c r="K7" s="2"/>
      <x:c r="L7" s="2"/>
      <x:c r="M7" s="2"/>
      <x:c r="N7" s="2"/>
      <x:c r="O7" s="2"/>
      <x:c r="P7" s="2"/>
      <x:c r="Q7" s="2"/>
      <x:c r="R7" s="2"/>
      <x:c r="S7" s="2"/>
      <x:c r="T7" s="2"/>
      <x:c r="U7" s="2"/>
      <x:c r="V7" s="2"/>
      <x:c r="W7" s="2"/>
      <x:c r="X7" s="2"/>
      <x:c r="Y7" s="2"/>
      <x:c r="Z7" s="2"/>
    </x:row>
    <x:row r="8" ht="80.0999984741211" customHeight="1">
      <x:c r="A8" s="2"/>
      <x:c r="B8" s="2"/>
      <x:c r="C8" s="2"/>
      <x:c r="D8" s="15"/>
      <x:c r="E8" s="15"/>
      <x:c r="F8" s="15"/>
      <x:c r="G8" s="15"/>
      <x:c r="H8" s="15"/>
      <x:c r="I8" s="2"/>
      <x:c r="J8" s="2"/>
      <x:c r="K8" s="2"/>
      <x:c r="L8" s="2"/>
      <x:c r="M8" s="2"/>
      <x:c r="N8" s="2"/>
      <x:c r="O8" s="2"/>
      <x:c r="P8" s="2"/>
      <x:c r="Q8" s="2"/>
      <x:c r="R8" s="2"/>
      <x:c r="S8" s="2"/>
      <x:c r="T8" s="2"/>
      <x:c r="U8" s="2"/>
      <x:c r="V8" s="2"/>
      <x:c r="W8" s="2"/>
      <x:c r="X8" s="2"/>
      <x:c r="Y8" s="2"/>
      <x:c r="Z8" s="2"/>
    </x:row>
    <x:row r="9" ht="21.950000762939453" customHeight="1">
      <x:c r="A9" s="14" t="s">
        <x:v>8</x:v>
      </x:c>
      <x:c r="B9" s="14"/>
      <x:c r="C9" s="14"/>
      <x:c r="D9" s="14"/>
      <x:c r="E9" s="14"/>
      <x:c r="F9" s="14"/>
      <x:c r="G9" s="14"/>
      <x:c r="H9" s="14"/>
      <x:c r="I9" s="2"/>
      <x:c r="J9" s="2"/>
      <x:c r="K9" s="2"/>
      <x:c r="L9" s="2"/>
      <x:c r="M9" s="2"/>
      <x:c r="N9" s="2"/>
      <x:c r="O9" s="2"/>
      <x:c r="P9" s="2"/>
      <x:c r="Q9" s="2"/>
      <x:c r="R9" s="2"/>
      <x:c r="S9" s="2"/>
      <x:c r="T9" s="2"/>
      <x:c r="U9" s="2"/>
      <x:c r="V9" s="2"/>
      <x:c r="W9" s="2"/>
      <x:c r="X9" s="2"/>
      <x:c r="Y9" s="2"/>
      <x:c r="Z9" s="2"/>
    </x:row>
    <x:row r="10" ht="15">
      <x:c r="A10" s="1" t="s">
        <x:v>9</x:v>
      </x:c>
      <x:c r="B10" s="1" t="s">
        <x:v>10</x:v>
      </x:c>
      <x:c r="C10" s="1" t="s">
        <x:v>11</x:v>
      </x:c>
      <x:c r="D10" s="1"/>
      <x:c r="E10" s="1" t="s">
        <x:v>12</x:v>
      </x:c>
      <x:c r="F10" s="1" t="s">
        <x:v>13</x:v>
      </x:c>
      <x:c r="G10" s="1" t="s">
        <x:v>14</x:v>
      </x:c>
      <x:c r="H10" s="1" t="s">
        <x:v>15</x:v>
      </x:c>
      <x:c r="I10" s="2"/>
      <x:c r="J10" s="2"/>
      <x:c r="K10" s="2"/>
      <x:c r="L10" s="2"/>
      <x:c r="M10" s="2"/>
      <x:c r="N10" s="2"/>
      <x:c r="O10" s="2"/>
      <x:c r="P10" s="2"/>
      <x:c r="Q10" s="2"/>
      <x:c r="R10" s="2"/>
      <x:c r="S10" s="2"/>
      <x:c r="T10" s="2"/>
      <x:c r="U10" s="2"/>
      <x:c r="V10" s="2"/>
      <x:c r="W10" s="2"/>
      <x:c r="X10" s="2"/>
      <x:c r="Y10" s="2"/>
      <x:c r="Z10" s="2"/>
    </x:row>
    <x:row r="11">
      <x:c r="A11" s="2" t="s">
        <x:v>16</x:v>
      </x:c>
      <x:c r="B11" s="3" t="n">
        <x:f>'Weekly Plan'!B14</x:f>
        <x:v>375</x:v>
      </x:c>
      <x:c r="C11" s="2" t="s">
        <x:v>17</x:v>
      </x:c>
      <x:c r="D11" s="2"/>
      <x:c r="E11" s="2" t="s">
        <x:v>18</x:v>
      </x:c>
      <x:c r="F11" s="2" t="s">
        <x:v>19</x:v>
      </x:c>
      <x:c r="G11" s="2" t="s">
        <x:v>20</x:v>
      </x:c>
      <x:c r="H11" s="3" t="str">
        <x:f>IF(B11&gt;=300,"OK","Low")</x:f>
        <x:v>OK</x:v>
      </x:c>
      <x:c r="I11" s="2"/>
      <x:c r="J11" s="2"/>
      <x:c r="K11" s="2"/>
      <x:c r="L11" s="2"/>
      <x:c r="M11" s="2"/>
      <x:c r="N11" s="2"/>
      <x:c r="O11" s="2"/>
      <x:c r="P11" s="2"/>
      <x:c r="Q11" s="2"/>
      <x:c r="R11" s="2"/>
      <x:c r="S11" s="2"/>
      <x:c r="T11" s="2"/>
      <x:c r="U11" s="2"/>
      <x:c r="V11" s="2"/>
      <x:c r="W11" s="2"/>
      <x:c r="X11" s="2"/>
      <x:c r="Y11" s="2"/>
      <x:c r="Z11" s="2"/>
    </x:row>
    <x:row r="12">
      <x:c r="A12" s="2" t="s">
        <x:v>21</x:v>
      </x:c>
      <x:c r="B12" s="3" t="n">
        <x:f>'Weekly Plan'!B15</x:f>
        <x:v>2615</x:v>
      </x:c>
      <x:c r="C12" s="2" t="s">
        <x:v>22</x:v>
      </x:c>
      <x:c r="D12" s="2"/>
      <x:c r="E12" s="2" t="s">
        <x:v>23</x:v>
      </x:c>
      <x:c r="F12" s="2" t="s">
        <x:v>24</x:v>
      </x:c>
      <x:c r="G12" s="2" t="s">
        <x:v>25</x:v>
      </x:c>
      <x:c r="H12" s="3" t="str">
        <x:f>IF(B12&gt;0,"Track","")</x:f>
        <x:v>Track</x:v>
      </x:c>
      <x:c r="I12" s="2"/>
      <x:c r="J12" s="2"/>
      <x:c r="K12" s="2"/>
      <x:c r="L12" s="2"/>
      <x:c r="M12" s="2"/>
      <x:c r="N12" s="2"/>
      <x:c r="O12" s="2"/>
      <x:c r="P12" s="2"/>
      <x:c r="Q12" s="2"/>
      <x:c r="R12" s="2"/>
      <x:c r="S12" s="2"/>
      <x:c r="T12" s="2"/>
      <x:c r="U12" s="2"/>
      <x:c r="V12" s="2"/>
      <x:c r="W12" s="2"/>
      <x:c r="X12" s="2"/>
      <x:c r="Y12" s="2"/>
      <x:c r="Z12" s="2"/>
    </x:row>
    <x:row r="13">
      <x:c r="A13" s="2" t="s">
        <x:v>26</x:v>
      </x:c>
      <x:c r="B13" s="3" t="n">
        <x:f>'Weekly Plan'!B16</x:f>
        <x:v>2</x:v>
      </x:c>
      <x:c r="C13" s="2" t="s">
        <x:v>27</x:v>
      </x:c>
      <x:c r="D13" s="2"/>
      <x:c r="E13" s="2" t="s">
        <x:v>28</x:v>
      </x:c>
      <x:c r="F13" s="2" t="s">
        <x:v>29</x:v>
      </x:c>
      <x:c r="G13" s="2" t="s">
        <x:v>30</x:v>
      </x:c>
      <x:c r="H13" s="3" t="str">
        <x:f>IF(B13&lt;=2,"OK","Too Many")</x:f>
        <x:v>OK</x:v>
      </x:c>
      <x:c r="I13" s="2"/>
      <x:c r="J13" s="2"/>
      <x:c r="K13" s="2"/>
      <x:c r="L13" s="2"/>
      <x:c r="M13" s="2"/>
      <x:c r="N13" s="2"/>
      <x:c r="O13" s="2"/>
      <x:c r="P13" s="2"/>
      <x:c r="Q13" s="2"/>
      <x:c r="R13" s="2"/>
      <x:c r="S13" s="2"/>
      <x:c r="T13" s="2"/>
      <x:c r="U13" s="2"/>
      <x:c r="V13" s="2"/>
      <x:c r="W13" s="2"/>
      <x:c r="X13" s="2"/>
      <x:c r="Y13" s="2"/>
      <x:c r="Z13" s="2"/>
    </x:row>
    <x:row r="14">
      <x:c r="A14" s="2" t="s">
        <x:v>31</x:v>
      </x:c>
      <x:c r="B14" s="3" t="n">
        <x:f>'Weekly Plan'!B17</x:f>
        <x:v>1</x:v>
      </x:c>
      <x:c r="C14" s="2" t="s">
        <x:v>32</x:v>
      </x:c>
      <x:c r="D14" s="2"/>
      <x:c r="E14" s="2" t="s">
        <x:v>33</x:v>
      </x:c>
      <x:c r="F14" s="2" t="s">
        <x:v>34</x:v>
      </x:c>
      <x:c r="G14" s="2" t="s">
        <x:v>35</x:v>
      </x:c>
      <x:c r="H14" s="3" t="str">
        <x:f>IF(B14&gt;=1,"OK","Need Rest")</x:f>
        <x:v>OK</x:v>
      </x:c>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ht="21.950000762939453" customHeight="1">
      <x:c r="A16" s="14" t="s">
        <x:v>36</x:v>
      </x:c>
      <x:c r="B16" s="14"/>
      <x:c r="C16" s="14"/>
      <x:c r="D16" s="14"/>
      <x:c r="E16" s="14"/>
      <x:c r="F16" s="14"/>
      <x:c r="G16" s="14"/>
      <x:c r="H16" s="14"/>
      <x:c r="I16" s="2"/>
      <x:c r="J16" s="2"/>
      <x:c r="K16" s="2"/>
      <x:c r="L16" s="2"/>
      <x:c r="M16" s="2"/>
      <x:c r="N16" s="2"/>
      <x:c r="O16" s="2"/>
      <x:c r="P16" s="2"/>
      <x:c r="Q16" s="2"/>
      <x:c r="R16" s="2"/>
      <x:c r="S16" s="2"/>
      <x:c r="T16" s="2"/>
      <x:c r="U16" s="2"/>
      <x:c r="V16" s="2"/>
      <x:c r="W16" s="2"/>
      <x:c r="X16" s="2"/>
      <x:c r="Y16" s="2"/>
      <x:c r="Z16" s="2"/>
    </x:row>
    <x:row r="17" ht="15">
      <x:c r="A17" s="1" t="s">
        <x:v>9</x:v>
      </x:c>
      <x:c r="B17" s="1" t="s">
        <x:v>37</x:v>
      </x:c>
      <x:c r="C17" s="1" t="s">
        <x:v>38</x:v>
      </x:c>
      <x:c r="D17" s="1" t="s">
        <x:v>39</x:v>
      </x:c>
      <x:c r="E17" s="1" t="s">
        <x:v>9</x:v>
      </x:c>
      <x:c r="F17" s="1" t="s">
        <x:v>37</x:v>
      </x:c>
      <x:c r="G17" s="1" t="s">
        <x:v>38</x:v>
      </x:c>
      <x:c r="H17" s="1" t="s">
        <x:v>39</x:v>
      </x:c>
      <x:c r="I17" s="2"/>
      <x:c r="J17" s="2"/>
      <x:c r="K17" s="2"/>
      <x:c r="L17" s="2"/>
      <x:c r="M17" s="2"/>
      <x:c r="N17" s="2"/>
      <x:c r="O17" s="2"/>
      <x:c r="P17" s="2"/>
      <x:c r="Q17" s="2"/>
      <x:c r="R17" s="2"/>
      <x:c r="S17" s="2"/>
      <x:c r="T17" s="2"/>
      <x:c r="U17" s="2"/>
      <x:c r="V17" s="2"/>
      <x:c r="W17" s="2"/>
      <x:c r="X17" s="2"/>
      <x:c r="Y17" s="2"/>
      <x:c r="Z17" s="2"/>
    </x:row>
    <x:row r="18">
      <x:c r="A18" s="2" t="s">
        <x:v>40</x:v>
      </x:c>
      <x:c r="B18" s="3" t="str">
        <x:f>IFERROR(LOOKUP(2,1/('Score Tracker'!C6:C17&lt;&gt;""),'Score Tracker'!C6:C17),"")</x:f>
      </x:c>
      <x:c r="C18" s="2" t="s">
        <x:v>41</x:v>
      </x:c>
      <x:c r="D18" s="3" t="str">
        <x:f>IF(B18="","",IF(B18&gt;=80,"Strong","Build touch volume"))</x:f>
      </x:c>
      <x:c r="E18" s="2" t="s">
        <x:v>42</x:v>
      </x:c>
      <x:c r="F18" s="11" t="str">
        <x:f>IFERROR(LOOKUP(2,1/('Score Tracker'!G6:G17&lt;&gt;""),'Score Tracker'!G6:G17),"")</x:f>
      </x:c>
      <x:c r="G18" s="2" t="s">
        <x:v>43</x:v>
      </x:c>
      <x:c r="H18" s="3" t="str">
        <x:f>IF(F18="","",IF(F18&gt;=0.7,"Strong","Movement + target finish"))</x:f>
      </x:c>
      <x:c r="I18" s="2"/>
      <x:c r="J18" s="2"/>
      <x:c r="K18" s="2"/>
      <x:c r="L18" s="2"/>
      <x:c r="M18" s="2"/>
      <x:c r="N18" s="2"/>
      <x:c r="O18" s="2"/>
      <x:c r="P18" s="2"/>
      <x:c r="Q18" s="2"/>
      <x:c r="R18" s="2"/>
      <x:c r="S18" s="2"/>
      <x:c r="T18" s="2"/>
      <x:c r="U18" s="2"/>
      <x:c r="V18" s="2"/>
      <x:c r="W18" s="2"/>
      <x:c r="X18" s="2"/>
      <x:c r="Y18" s="2"/>
      <x:c r="Z18" s="2"/>
    </x:row>
    <x:row r="19">
      <x:c r="A19" s="2" t="s">
        <x:v>44</x:v>
      </x:c>
      <x:c r="B19" s="3" t="str">
        <x:f>IFERROR(LOOKUP(2,1/('Score Tracker'!D6:D17&lt;&gt;""),'Score Tracker'!D6:D17),"")</x:f>
      </x:c>
      <x:c r="C19" s="2" t="s">
        <x:v>45</x:v>
      </x:c>
      <x:c r="D19" s="3" t="str">
        <x:f>IF(B19="","",IF(B19&gt;=100,"Strong","Daily weak foot"))</x:f>
      </x:c>
      <x:c r="E19" s="2" t="s">
        <x:v>46</x:v>
      </x:c>
      <x:c r="F19" s="11" t="str">
        <x:f>IFERROR(LOOKUP(2,1/('Score Tracker'!H6:H17&lt;&gt;""),'Score Tracker'!H6:H17),"")</x:f>
      </x:c>
      <x:c r="G19" s="2" t="s">
        <x:v>47</x:v>
      </x:c>
      <x:c r="H19" s="3" t="str">
        <x:f>IF(F19="","",IF(F19&gt;=0.6,"Strong","Defending body shape"))</x:f>
      </x:c>
      <x:c r="I19" s="2"/>
      <x:c r="J19" s="2"/>
      <x:c r="K19" s="2"/>
      <x:c r="L19" s="2"/>
      <x:c r="M19" s="2"/>
      <x:c r="N19" s="2"/>
      <x:c r="O19" s="2"/>
      <x:c r="P19" s="2"/>
      <x:c r="Q19" s="2"/>
      <x:c r="R19" s="2"/>
      <x:c r="S19" s="2"/>
      <x:c r="T19" s="2"/>
      <x:c r="U19" s="2"/>
      <x:c r="V19" s="2"/>
      <x:c r="W19" s="2"/>
      <x:c r="X19" s="2"/>
      <x:c r="Y19" s="2"/>
      <x:c r="Z19" s="2"/>
    </x:row>
    <x:row r="20">
      <x:c r="A20" s="2" t="s">
        <x:v>48</x:v>
      </x:c>
      <x:c r="B20" s="12" t="str">
        <x:f>IFERROR(LOOKUP(2,1/('Score Tracker'!E6:E17&lt;&gt;""),'Score Tracker'!E6:E17),"")</x:f>
      </x:c>
      <x:c r="C20" s="2" t="s">
        <x:v>49</x:v>
      </x:c>
      <x:c r="D20" s="3" t="str">
        <x:f>IF(B20="","",IF(B20&lt;=2.2,"Fast","Sprint mechanics"))</x:f>
      </x:c>
      <x:c r="E20" s="2" t="s">
        <x:v>50</x:v>
      </x:c>
      <x:c r="F20" s="11" t="str">
        <x:f>IFERROR(LOOKUP(2,1/('Score Tracker'!I6:I17&lt;&gt;""),'Score Tracker'!I6:I17),"")</x:f>
      </x:c>
      <x:c r="G20" s="2" t="s">
        <x:v>47</x:v>
      </x:c>
      <x:c r="H20" s="3" t="str">
        <x:f>IF(F20="","",IF(F20&gt;=0.6,"Strong","One move then explode"))</x:f>
      </x:c>
      <x:c r="I20" s="2"/>
      <x:c r="J20" s="2"/>
      <x:c r="K20" s="2"/>
      <x:c r="L20" s="2"/>
      <x:c r="M20" s="2"/>
      <x:c r="N20" s="2"/>
      <x:c r="O20" s="2"/>
      <x:c r="P20" s="2"/>
      <x:c r="Q20" s="2"/>
      <x:c r="R20" s="2"/>
      <x:c r="S20" s="2"/>
      <x:c r="T20" s="2"/>
      <x:c r="U20" s="2"/>
      <x:c r="V20" s="2"/>
      <x:c r="W20" s="2"/>
      <x:c r="X20" s="2"/>
      <x:c r="Y20" s="2"/>
      <x:c r="Z20" s="2"/>
    </x:row>
    <x:row r="21">
      <x:c r="A21" s="2" t="s">
        <x:v>18</x:v>
      </x:c>
      <x:c r="B21" s="3" t="str">
        <x:f>IFERROR(LOOKUP(2,1/('Score Tracker'!J6:J17&lt;&gt;""),'Score Tracker'!J6:J17),"")</x:f>
      </x:c>
      <x:c r="C21" s="2" t="s">
        <x:v>51</x:v>
      </x:c>
      <x:c r="D21" s="3" t="str">
        <x:f>IF(B21="","",IF(B21&gt;=8,"Strong","Scan before touch"))</x:f>
      </x:c>
      <x:c r="E21" s="2" t="s">
        <x:v>52</x:v>
      </x:c>
      <x:c r="F21" s="3" t="str">
        <x:f>IFERROR(LOOKUP(2,1/('Score Tracker'!O6:O17&lt;&gt;""),'Score Tracker'!O6:O17),"")</x:f>
      </x:c>
      <x:c r="G21" s="2" t="s">
        <x:v>41</x:v>
      </x:c>
      <x:c r="H21" s="3" t="str">
        <x:f>IF(F21="","",IF(F21&gt;=80,"Strong","Review Improvement Focus"))</x:f>
      </x:c>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21.950000762939453" customHeight="1">
      <x:c r="A23" s="14" t="s">
        <x:v>53</x:v>
      </x:c>
      <x:c r="B23" s="14"/>
      <x:c r="C23" s="14"/>
      <x:c r="D23" s="14"/>
      <x:c r="E23" s="14"/>
      <x:c r="F23" s="14"/>
      <x:c r="G23" s="14"/>
      <x:c r="H23" s="14"/>
      <x:c r="I23" s="2"/>
      <x:c r="J23" s="2"/>
      <x:c r="K23" s="2"/>
      <x:c r="L23" s="2"/>
      <x:c r="M23" s="2"/>
      <x:c r="N23" s="2"/>
      <x:c r="O23" s="2"/>
      <x:c r="P23" s="2"/>
      <x:c r="Q23" s="2"/>
      <x:c r="R23" s="2"/>
      <x:c r="S23" s="2"/>
      <x:c r="T23" s="2"/>
      <x:c r="U23" s="2"/>
      <x:c r="V23" s="2"/>
      <x:c r="W23" s="2"/>
      <x:c r="X23" s="2"/>
      <x:c r="Y23" s="2"/>
      <x:c r="Z23" s="2"/>
    </x:row>
    <x:row r="24" ht="28.5">
      <x:c r="A24" s="2" t="s">
        <x:v>54</x:v>
      </x:c>
      <x:c r="B24" s="2" t="s">
        <x:v>55</x:v>
      </x:c>
      <x:c r="C24" s="2" t="s">
        <x:v>56</x:v>
      </x:c>
      <x:c r="D24" s="2"/>
      <x:c r="E24" s="2"/>
      <x:c r="F24" s="2"/>
      <x:c r="G24" s="2"/>
      <x:c r="H24" s="2"/>
      <x:c r="I24" s="2"/>
      <x:c r="J24" s="2"/>
      <x:c r="K24" s="2"/>
      <x:c r="L24" s="2"/>
      <x:c r="M24" s="2"/>
      <x:c r="N24" s="2"/>
      <x:c r="O24" s="2"/>
      <x:c r="P24" s="2"/>
      <x:c r="Q24" s="2"/>
      <x:c r="R24" s="2"/>
      <x:c r="S24" s="2"/>
      <x:c r="T24" s="2"/>
      <x:c r="U24" s="2"/>
      <x:c r="V24" s="2"/>
      <x:c r="W24" s="2"/>
      <x:c r="X24" s="2"/>
      <x:c r="Y24" s="2"/>
      <x:c r="Z24" s="2"/>
    </x:row>
    <x:row r="25" ht="42.75">
      <x:c r="A25" s="2" t="s">
        <x:v>57</x:v>
      </x:c>
      <x:c r="B25" s="2" t="s">
        <x:v>58</x:v>
      </x:c>
      <x:c r="C25" s="2" t="s">
        <x:v>59</x:v>
      </x:c>
      <x:c r="D25" s="2"/>
      <x:c r="E25" s="2"/>
      <x:c r="F25" s="2"/>
      <x:c r="G25" s="2"/>
      <x:c r="H25" s="2"/>
      <x:c r="I25" s="2"/>
      <x:c r="J25" s="2"/>
      <x:c r="K25" s="2"/>
      <x:c r="L25" s="2"/>
      <x:c r="M25" s="2"/>
      <x:c r="N25" s="2"/>
      <x:c r="O25" s="2"/>
      <x:c r="P25" s="2"/>
      <x:c r="Q25" s="2"/>
      <x:c r="R25" s="2"/>
      <x:c r="S25" s="2"/>
      <x:c r="T25" s="2"/>
      <x:c r="U25" s="2"/>
      <x:c r="V25" s="2"/>
      <x:c r="W25" s="2"/>
      <x:c r="X25" s="2"/>
      <x:c r="Y25" s="2"/>
      <x:c r="Z25" s="2"/>
    </x:row>
    <x:row r="26" ht="28.5">
      <x:c r="A26" s="2" t="s">
        <x:v>60</x:v>
      </x:c>
      <x:c r="B26" s="2" t="s">
        <x:v>61</x:v>
      </x:c>
      <x:c r="C26" s="2" t="s">
        <x:v>62</x:v>
      </x:c>
      <x:c r="D26" s="2"/>
      <x:c r="E26" s="2"/>
      <x:c r="F26" s="2"/>
      <x:c r="G26" s="2"/>
      <x:c r="H26" s="2"/>
      <x:c r="I26" s="2"/>
      <x:c r="J26" s="2"/>
      <x:c r="K26" s="2"/>
      <x:c r="L26" s="2"/>
      <x:c r="M26" s="2"/>
      <x:c r="N26" s="2"/>
      <x:c r="O26" s="2"/>
      <x:c r="P26" s="2"/>
      <x:c r="Q26" s="2"/>
      <x:c r="R26" s="2"/>
      <x:c r="S26" s="2"/>
      <x:c r="T26" s="2"/>
      <x:c r="U26" s="2"/>
      <x:c r="V26" s="2"/>
      <x:c r="W26" s="2"/>
      <x:c r="X26" s="2"/>
      <x:c r="Y26" s="2"/>
      <x:c r="Z26" s="2"/>
    </x:row>
    <x:row r="27">
      <x:c r="A27" s="2" t="s">
        <x:v>63</x:v>
      </x:c>
      <x:c r="B27" s="2" t="s">
        <x:v>64</x:v>
      </x:c>
      <x:c r="C27" s="2" t="s">
        <x:v>65</x:v>
      </x:c>
      <x:c r="D27" s="2"/>
      <x:c r="E27" s="2"/>
      <x:c r="F27" s="2"/>
      <x:c r="G27" s="2"/>
      <x:c r="H27" s="2"/>
      <x:c r="I27" s="2"/>
      <x:c r="J27" s="2"/>
      <x:c r="K27" s="2"/>
      <x:c r="L27" s="2"/>
      <x:c r="M27" s="2"/>
      <x:c r="N27" s="2"/>
      <x:c r="O27" s="2"/>
      <x:c r="P27" s="2"/>
      <x:c r="Q27" s="2"/>
      <x:c r="R27" s="2"/>
      <x:c r="S27" s="2"/>
      <x:c r="T27" s="2"/>
      <x:c r="U27" s="2"/>
      <x:c r="V27" s="2"/>
      <x:c r="W27" s="2"/>
      <x:c r="X27" s="2"/>
      <x:c r="Y27" s="2"/>
      <x:c r="Z27" s="2"/>
    </x:row>
    <x:row r="28" ht="28.5">
      <x:c r="A28" s="2" t="s">
        <x:v>66</x:v>
      </x:c>
      <x:c r="B28" s="2" t="s">
        <x:v>67</x:v>
      </x:c>
      <x:c r="C28" s="2" t="s">
        <x:v>68</x:v>
      </x:c>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23:H23"/>
    <x:mergeCell ref="A1:H1"/>
    <x:mergeCell ref="D3:H3"/>
    <x:mergeCell ref="D4:H8"/>
    <x:mergeCell ref="A9:H9"/>
    <x:mergeCell ref="A16:H16"/>
  </x:mergeCells>
  <x:conditionalFormatting sqref="B18:B21">
    <x:cfRule type="dataBar" priority="3">
      <x:dataBar>
        <x:cfvo type="min"/>
        <x:cfvo type="max"/>
        <x:color rgb="FF1D4ED8"/>
      </x:dataBar>
    </x:cfRule>
    <x:cfRule type="dataBar" priority="5">
      <x:dataBar>
        <x:cfvo type="min"/>
        <x:cfvo type="max"/>
        <x:color rgb="FF1D4ED8"/>
      </x:dataBar>
      <x:extLst>
        <x:ext xmlns:x14="http://schemas.microsoft.com/office/spreadsheetml/2009/9/main" uri="{B025F937-C7B1-47D3-B67F-A62EFF666E3E}">
          <x14:id>{169BE573-5479-287D-BE93-74B15E11EBFA}</x14:id>
        </x:ext>
      </x:extLst>
    </x:cfRule>
  </x:conditionalFormatting>
  <x:conditionalFormatting sqref="F18:F21">
    <x:cfRule type="dataBar" priority="4">
      <x:dataBar>
        <x:cfvo type="min"/>
        <x:cfvo type="max"/>
        <x:color rgb="FF16A34A"/>
      </x:dataBar>
    </x:cfRule>
    <x:cfRule type="dataBar" priority="6">
      <x:dataBar>
        <x:cfvo type="min"/>
        <x:cfvo type="max"/>
        <x:color rgb="FF16A34A"/>
      </x:dataBar>
      <x:extLst>
        <x:ext xmlns:x14="http://schemas.microsoft.com/office/spreadsheetml/2009/9/main" uri="{B025F937-C7B1-47D3-B67F-A62EFF666E3E}">
          <x14:id>{C5593AA7-0028-5BEA-E3E0-8178783C1A47}</x14:id>
        </x:ext>
      </x:extLst>
    </x:cfRule>
  </x:conditionalFormatting>
  <x:conditionalFormatting sqref="H11:H14">
    <x:cfRule type="expression" dxfId="8" priority="1">
      <x:formula>H11="OK"</x:formula>
    </x:cfRule>
    <x:cfRule type="expression" dxfId="7" priority="2">
      <x:formula>OR(H11="Low",H11="Too Many",H11="Need Rest")</x:formula>
    </x:cfRule>
  </x:conditionalFormatting>
  <x:pageMargins left="0.7" right="0.7" top="0.75" bottom="0.75" header="0.3" footer="0.3"/>
  <x:drawing xmlns:r="http://schemas.openxmlformats.org/officeDocument/2006/relationships" r:id="Rfddd8ceb09234c90"/>
  <x:extLst>
    <x:ext xmlns:x14="http://schemas.microsoft.com/office/spreadsheetml/2009/9/main" xmlns:xm="http://schemas.microsoft.com/office/excel/2006/main" uri="{78C0D931-6437-407d-A8EE-F0AAD7539E65}">
      <x14:conditionalFormattings>
        <x14:conditionalFormatting>
          <x14:cfRule type="dataBar" priority="5" id="{169BE573-5479-287D-BE93-74B15E11EBFA}">
            <x14:dataBar>
              <x14:cfvo type="min"/>
              <x14:cfvo type="max"/>
              <x14:fillColor rgb="FF1D4ED8"/>
              <x14:negativeFillColor auto="1"/>
              <x14:axisColor auto="1"/>
            </x14:dataBar>
          </x14:cfRule>
          <xm:sqref>B18:B21</xm:sqref>
        </x14:conditionalFormatting>
        <x14:conditionalFormatting>
          <x14:cfRule type="dataBar" priority="6" id="{C5593AA7-0028-5BEA-E3E0-8178783C1A47}">
            <x14:dataBar>
              <x14:cfvo type="min"/>
              <x14:cfvo type="max"/>
              <x14:fillColor rgb="FF16A34A"/>
              <x14:negativeFillColor auto="1"/>
              <x14:axisColor auto="1"/>
            </x14:dataBar>
          </x14:cfRule>
          <xm:sqref>F18:F21</xm:sqref>
        </x14:conditionalFormatting>
      </x14:conditionalFormattings>
    </x:ext>
  </x:extLst>
</x:worksheet>
</file>

<file path=xl/worksheets/sheet2.xml><?xml version="1.0" encoding="utf-8"?>
<x:worksheet xmlns:x="http://schemas.openxmlformats.org/spreadsheetml/2006/main">
  <x:sheetFormatPr defaultRowHeight="14.25"/>
  <x:cols>
    <x:col min="1" max="1" width="12" customWidth="1"/>
    <x:col min="2" max="2" width="20" customWidth="1"/>
    <x:col min="3" max="3" width="13" customWidth="1"/>
    <x:col min="4" max="4" width="12" customWidth="1"/>
    <x:col min="5" max="5" width="13" customWidth="1"/>
    <x:col min="6" max="6" width="12" customWidth="1"/>
    <x:col min="7" max="7" width="34" customWidth="1"/>
    <x:col min="8" max="8" width="14" customWidth="1"/>
    <x:col min="9" max="9" width="34" customWidth="1"/>
    <x:col min="10" max="10" width="36" customWidth="1"/>
  </x:cols>
  <x:sheetData>
    <x:row r="1" ht="30" customHeight="1">
      <x:c r="A1" s="13" t="str">
        <x:v>Total Futball Weekly Workout Plan</x:v>
      </x:c>
      <x:c r="B1" s="13"/>
      <x:c r="C1" s="13"/>
      <x:c r="D1" s="13"/>
      <x:c r="E1" s="13"/>
      <x:c r="F1" s="13"/>
      <x:c r="G1" s="13"/>
      <x:c r="H1" s="13"/>
      <x:c r="I1" s="13"/>
      <x:c r="J1" s="13"/>
      <x:c r="K1" s="2"/>
      <x:c r="L1" s="2"/>
      <x:c r="M1" s="2"/>
      <x:c r="N1" s="2"/>
      <x:c r="O1" s="2"/>
      <x:c r="P1" s="2"/>
      <x:c r="Q1" s="2"/>
      <x:c r="R1" s="2"/>
      <x:c r="S1" s="2"/>
      <x:c r="T1" s="2"/>
      <x:c r="U1" s="2"/>
      <x:c r="V1" s="2"/>
      <x:c r="W1" s="2"/>
      <x:c r="X1" s="2"/>
      <x:c r="Y1" s="2"/>
      <x:c r="Z1" s="2"/>
    </x:row>
    <x:row r="2" ht="42" customHeight="1">
      <x:c r="A2" s="15" t="s">
        <x:v>69</x:v>
      </x:c>
      <x:c r="B2" s="15"/>
      <x:c r="C2" s="15"/>
      <x:c r="D2" s="15"/>
      <x:c r="E2" s="15"/>
      <x:c r="F2" s="15"/>
      <x:c r="G2" s="15"/>
      <x:c r="H2" s="15"/>
      <x:c r="I2" s="15"/>
      <x:c r="J2" s="15"/>
      <x:c r="K2" s="2"/>
      <x:c r="L2" s="2"/>
      <x:c r="M2" s="2"/>
      <x:c r="N2" s="2"/>
      <x:c r="O2" s="2"/>
      <x:c r="P2" s="2"/>
      <x:c r="Q2" s="2"/>
      <x:c r="R2" s="2"/>
      <x:c r="S2" s="2"/>
      <x:c r="T2" s="2"/>
      <x:c r="U2" s="2"/>
      <x:c r="V2" s="2"/>
      <x:c r="W2" s="2"/>
      <x:c r="X2" s="2"/>
      <x:c r="Y2" s="2"/>
      <x:c r="Z2" s="2"/>
    </x:row>
    <x:row r="3">
      <x:c r="A3" s="2"/>
      <x:c r="B3" s="2"/>
      <x:c r="C3" s="2"/>
      <x:c r="D3" s="2"/>
      <x:c r="E3" s="2"/>
      <x:c r="F3" s="2"/>
      <x:c r="G3" s="2"/>
      <x:c r="H3" s="2"/>
      <x:c r="I3" s="2"/>
      <x:c r="J3" s="2"/>
      <x:c r="K3" s="2"/>
      <x:c r="L3" s="2"/>
      <x:c r="M3" s="2"/>
      <x:c r="N3" s="2"/>
      <x:c r="O3" s="2"/>
      <x:c r="P3" s="2"/>
      <x:c r="Q3" s="2"/>
      <x:c r="R3" s="2"/>
      <x:c r="S3" s="2"/>
      <x:c r="T3" s="2"/>
      <x:c r="U3" s="2"/>
      <x:c r="V3" s="2"/>
      <x:c r="W3" s="2"/>
      <x:c r="X3" s="2"/>
      <x:c r="Y3" s="2"/>
      <x:c r="Z3" s="2"/>
    </x:row>
    <x:row r="4" ht="30">
      <x:c r="A4" s="1" t="s">
        <x:v>70</x:v>
      </x:c>
      <x:c r="B4" s="1" t="s">
        <x:v>71</x:v>
      </x:c>
      <x:c r="C4" s="1" t="s">
        <x:v>72</x:v>
      </x:c>
      <x:c r="D4" s="1" t="s">
        <x:v>73</x:v>
      </x:c>
      <x:c r="E4" s="1" t="s">
        <x:v>74</x:v>
      </x:c>
      <x:c r="F4" s="1" t="s">
        <x:v>75</x:v>
      </x:c>
      <x:c r="G4" s="1" t="s">
        <x:v>76</x:v>
      </x:c>
      <x:c r="H4" s="1" t="s">
        <x:v>77</x:v>
      </x:c>
      <x:c r="I4" s="1" t="s">
        <x:v>78</x:v>
      </x:c>
      <x:c r="J4" s="1" t="s">
        <x:v>79</x:v>
      </x:c>
      <x:c r="K4" s="2"/>
      <x:c r="L4" s="2"/>
      <x:c r="M4" s="2"/>
      <x:c r="N4" s="2"/>
      <x:c r="O4" s="2"/>
      <x:c r="P4" s="2"/>
      <x:c r="Q4" s="2"/>
      <x:c r="R4" s="2"/>
      <x:c r="S4" s="2"/>
      <x:c r="T4" s="2"/>
      <x:c r="U4" s="2"/>
      <x:c r="V4" s="2"/>
      <x:c r="W4" s="2"/>
      <x:c r="X4" s="2"/>
      <x:c r="Y4" s="2"/>
      <x:c r="Z4" s="2"/>
    </x:row>
    <x:row r="5" ht="28.5">
      <x:c r="A5" s="2" t="s">
        <x:v>80</x:v>
      </x:c>
      <x:c r="B5" s="2" t="str">
        <x:v>Total Futball IQ</x:v>
      </x:c>
      <x:c r="C5" s="2">
        <x:v>65</x:v>
      </x:c>
      <x:c r="D5" s="2">
        <x:v>6</x:v>
      </x:c>
      <x:c r="E5" s="2" t="n">
        <x:f t="shared" ref="E5:E11" si="0">IF(OR(C5="",D5=""),"",C5*D5)</x:f>
        <x:v>390</x:v>
      </x:c>
      <x:c r="F5" s="2" t="s">
        <x:v>81</x:v>
      </x:c>
      <x:c r="G5" s="2" t="s">
        <x:v>82</x:v>
      </x:c>
      <x:c r="H5" s="2" t="s">
        <x:v>83</x:v>
      </x:c>
      <x:c r="I5" s="2" t="s">
        <x:v>84</x:v>
      </x:c>
      <x:c r="J5" s="2" t="s">
        <x:v>85</x:v>
      </x:c>
      <x:c r="K5" s="2"/>
      <x:c r="L5" s="2"/>
      <x:c r="M5" s="2"/>
      <x:c r="N5" s="2"/>
      <x:c r="O5" s="2"/>
      <x:c r="P5" s="2"/>
      <x:c r="Q5" s="2"/>
      <x:c r="R5" s="2"/>
      <x:c r="S5" s="2"/>
      <x:c r="T5" s="2"/>
      <x:c r="U5" s="2"/>
      <x:c r="V5" s="2"/>
      <x:c r="W5" s="2"/>
      <x:c r="X5" s="2"/>
      <x:c r="Y5" s="2"/>
      <x:c r="Z5" s="2"/>
    </x:row>
    <x:row r="6" ht="28.5">
      <x:c r="A6" s="2" t="s">
        <x:v>86</x:v>
      </x:c>
      <x:c r="B6" s="2" t="s">
        <x:v>87</x:v>
      </x:c>
      <x:c r="C6" s="2">
        <x:v>90</x:v>
      </x:c>
      <x:c r="D6" s="2">
        <x:v>7</x:v>
      </x:c>
      <x:c r="E6" s="2">
        <x:f t="shared" si="0"/>
        <x:v>630</x:v>
      </x:c>
      <x:c r="F6" s="2" t="s">
        <x:v>88</x:v>
      </x:c>
      <x:c r="G6" s="2" t="s">
        <x:v>89</x:v>
      </x:c>
      <x:c r="H6" s="2" t="s">
        <x:v>90</x:v>
      </x:c>
      <x:c r="I6" s="2" t="s">
        <x:v>91</x:v>
      </x:c>
      <x:c r="J6" s="2" t="s">
        <x:v>92</x:v>
      </x:c>
      <x:c r="K6" s="2"/>
      <x:c r="L6" s="2"/>
      <x:c r="M6" s="2"/>
      <x:c r="N6" s="2"/>
      <x:c r="O6" s="2"/>
      <x:c r="P6" s="2"/>
      <x:c r="Q6" s="2"/>
      <x:c r="R6" s="2"/>
      <x:c r="S6" s="2"/>
      <x:c r="T6" s="2"/>
      <x:c r="U6" s="2"/>
      <x:c r="V6" s="2"/>
      <x:c r="W6" s="2"/>
      <x:c r="X6" s="2"/>
      <x:c r="Y6" s="2"/>
      <x:c r="Z6" s="2"/>
    </x:row>
    <x:row r="7" ht="28.5">
      <x:c r="A7" s="2" t="s">
        <x:v>93</x:v>
      </x:c>
      <x:c r="B7" s="2" t="s">
        <x:v>94</x:v>
      </x:c>
      <x:c r="C7" s="2">
        <x:v>60</x:v>
      </x:c>
      <x:c r="D7" s="2">
        <x:v>8</x:v>
      </x:c>
      <x:c r="E7" s="2">
        <x:f t="shared" si="0"/>
        <x:v>480</x:v>
      </x:c>
      <x:c r="F7" s="2" t="s">
        <x:v>88</x:v>
      </x:c>
      <x:c r="G7" s="2" t="s">
        <x:v>95</x:v>
      </x:c>
      <x:c r="H7" s="2" t="s">
        <x:v>96</x:v>
      </x:c>
      <x:c r="I7" s="2" t="s">
        <x:v>97</x:v>
      </x:c>
      <x:c r="J7" s="2" t="s">
        <x:v>98</x:v>
      </x:c>
      <x:c r="K7" s="2"/>
      <x:c r="L7" s="2"/>
      <x:c r="M7" s="2"/>
      <x:c r="N7" s="2"/>
      <x:c r="O7" s="2"/>
      <x:c r="P7" s="2"/>
      <x:c r="Q7" s="2"/>
      <x:c r="R7" s="2"/>
      <x:c r="S7" s="2"/>
      <x:c r="T7" s="2"/>
      <x:c r="U7" s="2"/>
      <x:c r="V7" s="2"/>
      <x:c r="W7" s="2"/>
      <x:c r="X7" s="2"/>
      <x:c r="Y7" s="2"/>
      <x:c r="Z7" s="2"/>
    </x:row>
    <x:row r="8" ht="28.5">
      <x:c r="A8" s="2" t="s">
        <x:v>99</x:v>
      </x:c>
      <x:c r="B8" s="2" t="s">
        <x:v>100</x:v>
      </x:c>
      <x:c r="C8" s="2">
        <x:v>20</x:v>
      </x:c>
      <x:c r="D8" s="2">
        <x:v>3</x:v>
      </x:c>
      <x:c r="E8" s="2">
        <x:f t="shared" si="0"/>
        <x:v>60</x:v>
      </x:c>
      <x:c r="F8" s="2" t="s">
        <x:v>101</x:v>
      </x:c>
      <x:c r="G8" s="2" t="s">
        <x:v>102</x:v>
      </x:c>
      <x:c r="H8" s="2" t="s">
        <x:v>103</x:v>
      </x:c>
      <x:c r="I8" s="2" t="s">
        <x:v>104</x:v>
      </x:c>
      <x:c r="J8" s="2" t="s">
        <x:v>105</x:v>
      </x:c>
      <x:c r="K8" s="2"/>
      <x:c r="L8" s="2"/>
      <x:c r="M8" s="2"/>
      <x:c r="N8" s="2"/>
      <x:c r="O8" s="2"/>
      <x:c r="P8" s="2"/>
      <x:c r="Q8" s="2"/>
      <x:c r="R8" s="2"/>
      <x:c r="S8" s="2"/>
      <x:c r="T8" s="2"/>
      <x:c r="U8" s="2"/>
      <x:c r="V8" s="2"/>
      <x:c r="W8" s="2"/>
      <x:c r="X8" s="2"/>
      <x:c r="Y8" s="2"/>
      <x:c r="Z8" s="2"/>
    </x:row>
    <x:row r="9" ht="28.5">
      <x:c r="A9" s="2" t="s">
        <x:v>106</x:v>
      </x:c>
      <x:c r="B9" s="2" t="s">
        <x:v>107</x:v>
      </x:c>
      <x:c r="C9" s="2">
        <x:v>65</x:v>
      </x:c>
      <x:c r="D9" s="2">
        <x:v>7</x:v>
      </x:c>
      <x:c r="E9" s="2">
        <x:f t="shared" si="0"/>
        <x:v>455</x:v>
      </x:c>
      <x:c r="F9" s="2" t="s">
        <x:v>88</x:v>
      </x:c>
      <x:c r="G9" s="2" t="s">
        <x:v>108</x:v>
      </x:c>
      <x:c r="H9" s="2" t="s">
        <x:v>96</x:v>
      </x:c>
      <x:c r="I9" s="2" t="s">
        <x:v>109</x:v>
      </x:c>
      <x:c r="J9" s="2" t="s">
        <x:v>110</x:v>
      </x:c>
      <x:c r="K9" s="2"/>
      <x:c r="L9" s="2"/>
      <x:c r="M9" s="2"/>
      <x:c r="N9" s="2"/>
      <x:c r="O9" s="2"/>
      <x:c r="P9" s="2"/>
      <x:c r="Q9" s="2"/>
      <x:c r="R9" s="2"/>
      <x:c r="S9" s="2"/>
      <x:c r="T9" s="2"/>
      <x:c r="U9" s="2"/>
      <x:c r="V9" s="2"/>
      <x:c r="W9" s="2"/>
      <x:c r="X9" s="2"/>
      <x:c r="Y9" s="2"/>
      <x:c r="Z9" s="2"/>
    </x:row>
    <x:row r="10" ht="28.5">
      <x:c r="A10" s="2" t="s">
        <x:v>111</x:v>
      </x:c>
      <x:c r="B10" s="2" t="s">
        <x:v>112</x:v>
      </x:c>
      <x:c r="C10" s="2">
        <x:v>75</x:v>
      </x:c>
      <x:c r="D10" s="2">
        <x:v>8</x:v>
      </x:c>
      <x:c r="E10" s="2">
        <x:f t="shared" si="0"/>
        <x:v>600</x:v>
      </x:c>
      <x:c r="F10" s="2" t="s">
        <x:v>88</x:v>
      </x:c>
      <x:c r="G10" s="2" t="s">
        <x:v>113</x:v>
      </x:c>
      <x:c r="H10" s="2" t="s">
        <x:v>90</x:v>
      </x:c>
      <x:c r="I10" s="2" t="s">
        <x:v>114</x:v>
      </x:c>
      <x:c r="J10" s="2" t="s">
        <x:v>115</x:v>
      </x:c>
      <x:c r="K10" s="2"/>
      <x:c r="L10" s="2"/>
      <x:c r="M10" s="2"/>
      <x:c r="N10" s="2"/>
      <x:c r="O10" s="2"/>
      <x:c r="P10" s="2"/>
      <x:c r="Q10" s="2"/>
      <x:c r="R10" s="2"/>
      <x:c r="S10" s="2"/>
      <x:c r="T10" s="2"/>
      <x:c r="U10" s="2"/>
      <x:c r="V10" s="2"/>
      <x:c r="W10" s="2"/>
      <x:c r="X10" s="2"/>
      <x:c r="Y10" s="2"/>
      <x:c r="Z10" s="2"/>
    </x:row>
    <x:row r="11">
      <x:c r="A11" s="2" t="s">
        <x:v>116</x:v>
      </x:c>
      <x:c r="B11" s="2" t="s">
        <x:v>117</x:v>
      </x:c>
      <x:c r="C11" s="2">
        <x:v>0</x:v>
      </x:c>
      <x:c r="D11" s="2">
        <x:v>0</x:v>
      </x:c>
      <x:c r="E11" s="2">
        <x:f t="shared" si="0"/>
        <x:v>0</x:v>
      </x:c>
      <x:c r="F11" s="2" t="s">
        <x:v>118</x:v>
      </x:c>
      <x:c r="G11" s="2" t="s">
        <x:v>119</x:v>
      </x:c>
      <x:c r="H11" s="2" t="s">
        <x:v>103</x:v>
      </x:c>
      <x:c r="I11" s="2" t="s">
        <x:v>120</x:v>
      </x:c>
      <x:c r="J11" s="2" t="s">
        <x:v>121</x:v>
      </x:c>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30">
      <x:c r="A13" s="1" t="s">
        <x:v>122</x:v>
      </x:c>
      <x:c r="B13" s="1" t="s">
        <x:v>123</x:v>
      </x:c>
      <x:c r="C13" s="1" t="s">
        <x:v>38</x:v>
      </x:c>
      <x:c r="D13" s="1" t="s">
        <x:v>124</x:v>
      </x:c>
      <x:c r="E13" s="2"/>
      <x:c r="F13" s="2"/>
      <x:c r="G13" s="2"/>
      <x:c r="H13" s="2"/>
      <x:c r="I13" s="2"/>
      <x:c r="J13" s="2"/>
      <x:c r="K13" s="2"/>
      <x:c r="L13" s="2"/>
      <x:c r="M13" s="2"/>
      <x:c r="N13" s="2"/>
      <x:c r="O13" s="2"/>
      <x:c r="P13" s="2"/>
      <x:c r="Q13" s="2"/>
      <x:c r="R13" s="2"/>
      <x:c r="S13" s="2"/>
      <x:c r="T13" s="2"/>
      <x:c r="U13" s="2"/>
      <x:c r="V13" s="2"/>
      <x:c r="W13" s="2"/>
      <x:c r="X13" s="2"/>
      <x:c r="Y13" s="2"/>
      <x:c r="Z13" s="2"/>
    </x:row>
    <x:row r="14" ht="42.75">
      <x:c r="A14" s="2" t="s">
        <x:v>125</x:v>
      </x:c>
      <x:c r="B14" s="3" t="n">
        <x:f>SUM(C5:C11)</x:f>
        <x:v>375</x:v>
      </x:c>
      <x:c r="C14" s="2" t="s">
        <x:v>126</x:v>
      </x:c>
      <x:c r="D14" s="3" t="n">
        <x:f>B14</x:f>
        <x:v>375</x:v>
      </x:c>
      <x:c r="E14" s="2"/>
      <x:c r="F14" s="2"/>
      <x:c r="G14" s="2"/>
      <x:c r="H14" s="2"/>
      <x:c r="I14" s="2"/>
      <x:c r="J14" s="2"/>
      <x:c r="K14" s="2"/>
      <x:c r="L14" s="2"/>
      <x:c r="M14" s="2"/>
      <x:c r="N14" s="2"/>
      <x:c r="O14" s="2"/>
      <x:c r="P14" s="2"/>
      <x:c r="Q14" s="2"/>
      <x:c r="R14" s="2"/>
      <x:c r="S14" s="2"/>
      <x:c r="T14" s="2"/>
      <x:c r="U14" s="2"/>
      <x:c r="V14" s="2"/>
      <x:c r="W14" s="2"/>
      <x:c r="X14" s="2"/>
      <x:c r="Y14" s="2"/>
      <x:c r="Z14" s="2"/>
    </x:row>
    <x:row r="15" ht="28.5">
      <x:c r="A15" s="2" t="s">
        <x:v>127</x:v>
      </x:c>
      <x:c r="B15" s="3" t="n">
        <x:f>SUM(E5:E11)</x:f>
        <x:v>2615</x:v>
      </x:c>
      <x:c r="C15" s="2" t="s">
        <x:v>128</x:v>
      </x:c>
      <x:c r="D15" s="3" t="n">
        <x:f>B15</x:f>
        <x:v>2615</x:v>
      </x:c>
      <x:c r="E15" s="2"/>
      <x:c r="F15" s="2"/>
      <x:c r="G15" s="2"/>
      <x:c r="H15" s="2"/>
      <x:c r="I15" s="2"/>
      <x:c r="J15" s="2"/>
      <x:c r="K15" s="2"/>
      <x:c r="L15" s="2"/>
      <x:c r="M15" s="2"/>
      <x:c r="N15" s="2"/>
      <x:c r="O15" s="2"/>
      <x:c r="P15" s="2"/>
      <x:c r="Q15" s="2"/>
      <x:c r="R15" s="2"/>
      <x:c r="S15" s="2"/>
      <x:c r="T15" s="2"/>
      <x:c r="U15" s="2"/>
      <x:c r="V15" s="2"/>
      <x:c r="W15" s="2"/>
      <x:c r="X15" s="2"/>
      <x:c r="Y15" s="2"/>
      <x:c r="Z15" s="2"/>
    </x:row>
    <x:row r="16" ht="42.75">
      <x:c r="A16" s="2" t="s">
        <x:v>26</x:v>
      </x:c>
      <x:c r="B16" s="3" t="n">
        <x:f>COUNTIFS(F5:F11,"High",H5:H11,"Coach")</x:f>
        <x:v>2</x:v>
      </x:c>
      <x:c r="C16" s="2" t="s">
        <x:v>27</x:v>
      </x:c>
      <x:c r="D16" s="3" t="n">
        <x:f>B16</x:f>
        <x:v>2</x:v>
      </x:c>
      <x:c r="E16" s="2"/>
      <x:c r="F16" s="2"/>
      <x:c r="G16" s="2"/>
      <x:c r="H16" s="2"/>
      <x:c r="I16" s="2"/>
      <x:c r="J16" s="2"/>
      <x:c r="K16" s="2"/>
      <x:c r="L16" s="2"/>
      <x:c r="M16" s="2"/>
      <x:c r="N16" s="2"/>
      <x:c r="O16" s="2"/>
      <x:c r="P16" s="2"/>
      <x:c r="Q16" s="2"/>
      <x:c r="R16" s="2"/>
      <x:c r="S16" s="2"/>
      <x:c r="T16" s="2"/>
      <x:c r="U16" s="2"/>
      <x:c r="V16" s="2"/>
      <x:c r="W16" s="2"/>
      <x:c r="X16" s="2"/>
      <x:c r="Y16" s="2"/>
      <x:c r="Z16" s="2"/>
    </x:row>
    <x:row r="17" ht="28.5">
      <x:c r="A17" s="2" t="s">
        <x:v>31</x:v>
      </x:c>
      <x:c r="B17" s="3" t="n">
        <x:f>COUNTIF(F5:F11,"Rest")</x:f>
        <x:v>1</x:v>
      </x:c>
      <x:c r="C17" s="2" t="s">
        <x:v>32</x:v>
      </x:c>
      <x:c r="D17" s="3" t="n">
        <x:f>B17</x:f>
        <x:v>1</x:v>
      </x:c>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ht="21.950000762939453" customHeight="1">
      <x:c r="A19" s="14" t="s">
        <x:v>129</x:v>
      </x:c>
      <x:c r="B19" s="14"/>
      <x:c r="C19" s="14"/>
      <x:c r="D19" s="14"/>
      <x:c r="E19" s="14"/>
      <x:c r="F19" s="14"/>
      <x:c r="G19" s="14"/>
      <x:c r="H19" s="14"/>
      <x:c r="I19" s="14"/>
      <x:c r="J19" s="14"/>
      <x:c r="K19" s="2"/>
      <x:c r="L19" s="2"/>
      <x:c r="M19" s="2"/>
      <x:c r="N19" s="2"/>
      <x:c r="O19" s="2"/>
      <x:c r="P19" s="2"/>
      <x:c r="Q19" s="2"/>
      <x:c r="R19" s="2"/>
      <x:c r="S19" s="2"/>
      <x:c r="T19" s="2"/>
      <x:c r="U19" s="2"/>
      <x:c r="V19" s="2"/>
      <x:c r="W19" s="2"/>
      <x:c r="X19" s="2"/>
      <x:c r="Y19" s="2"/>
      <x:c r="Z19" s="2"/>
    </x:row>
    <x:row r="20" ht="44.099998474121094" customHeight="1">
      <x:c r="A20" s="15" t="s">
        <x:v>130</x:v>
      </x:c>
      <x:c r="B20" s="15"/>
      <x:c r="C20" s="15"/>
      <x:c r="D20" s="15"/>
      <x:c r="E20" s="15"/>
      <x:c r="F20" s="15"/>
      <x:c r="G20" s="15"/>
      <x:c r="H20" s="15"/>
      <x:c r="I20" s="15"/>
      <x:c r="J20" s="15"/>
      <x:c r="K20" s="2"/>
      <x:c r="L20" s="2"/>
      <x:c r="M20" s="2"/>
      <x:c r="N20" s="2"/>
      <x:c r="O20" s="2"/>
      <x:c r="P20" s="2"/>
      <x:c r="Q20" s="2"/>
      <x:c r="R20" s="2"/>
      <x:c r="S20" s="2"/>
      <x:c r="T20" s="2"/>
      <x:c r="U20" s="2"/>
      <x:c r="V20" s="2"/>
      <x:c r="W20" s="2"/>
      <x:c r="X20" s="2"/>
      <x:c r="Y20" s="2"/>
      <x:c r="Z20" s="2"/>
    </x:row>
    <x:row r="21" ht="44.099998474121094" customHeight="1">
      <x:c r="A21" s="15"/>
      <x:c r="B21" s="15"/>
      <x:c r="C21" s="15"/>
      <x:c r="D21" s="15"/>
      <x:c r="E21" s="15"/>
      <x:c r="F21" s="15"/>
      <x:c r="G21" s="15"/>
      <x:c r="H21" s="15"/>
      <x:c r="I21" s="15"/>
      <x:c r="J21" s="15"/>
      <x:c r="K21" s="2"/>
      <x:c r="L21" s="2"/>
      <x:c r="M21" s="2"/>
      <x:c r="N21" s="2"/>
      <x:c r="O21" s="2"/>
      <x:c r="P21" s="2"/>
      <x:c r="Q21" s="2"/>
      <x:c r="R21" s="2"/>
      <x:c r="S21" s="2"/>
      <x:c r="T21" s="2"/>
      <x:c r="U21" s="2"/>
      <x:c r="V21" s="2"/>
      <x:c r="W21" s="2"/>
      <x:c r="X21" s="2"/>
      <x:c r="Y21" s="2"/>
      <x:c r="Z21" s="2"/>
    </x:row>
    <x:row r="22" ht="44.099998474121094" customHeight="1">
      <x:c r="A22" s="15"/>
      <x:c r="B22" s="15"/>
      <x:c r="C22" s="15"/>
      <x:c r="D22" s="15"/>
      <x:c r="E22" s="15"/>
      <x:c r="F22" s="15"/>
      <x:c r="G22" s="15"/>
      <x:c r="H22" s="15"/>
      <x:c r="I22" s="15"/>
      <x:c r="J22" s="15"/>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1:J1"/>
    <x:mergeCell ref="A2:J2"/>
    <x:mergeCell ref="A19:J19"/>
    <x:mergeCell ref="A20:J22"/>
  </x:mergeCells>
  <x:conditionalFormatting sqref="D5:D11">
    <x:cfRule type="cellIs" dxfId="6" priority="3" operator="greaterThan">
      <x:formula>7</x:formula>
    </x:cfRule>
  </x:conditionalFormatting>
  <x:conditionalFormatting sqref="E5:E11">
    <x:cfRule type="dataBar" priority="1">
      <x:dataBar>
        <x:cfvo type="min"/>
        <x:cfvo type="max"/>
        <x:color rgb="FF1D4ED8"/>
      </x:dataBar>
    </x:cfRule>
    <x:cfRule type="dataBar" priority="4">
      <x:dataBar>
        <x:cfvo type="min"/>
        <x:cfvo type="max"/>
        <x:color rgb="FF1D4ED8"/>
      </x:dataBar>
      <x:extLst>
        <x:ext xmlns:x14="http://schemas.microsoft.com/office/spreadsheetml/2009/9/main" uri="{B025F937-C7B1-47D3-B67F-A62EFF666E3E}">
          <x14:id>{42C5FA43-5C83-ACD8-4094-A3E0AE5D87F8}</x14:id>
        </x:ext>
      </x:extLst>
    </x:cfRule>
  </x:conditionalFormatting>
  <x:conditionalFormatting sqref="F5:F11">
    <x:cfRule type="expression" dxfId="5" priority="2">
      <x:formula>F5="Rest"</x:formula>
    </x:cfRule>
  </x:conditionalFormatting>
  <x:pageMargins left="0.7" right="0.7" top="0.75" bottom="0.75" header="0.3" footer="0.3"/>
  <x:drawing xmlns:r="http://schemas.openxmlformats.org/officeDocument/2006/relationships" r:id="R216bc4fbcf8d45f1"/>
  <x:extLst>
    <x:ext xmlns:x14="http://schemas.microsoft.com/office/spreadsheetml/2009/9/main" xmlns:xm="http://schemas.microsoft.com/office/excel/2006/main" uri="{78C0D931-6437-407d-A8EE-F0AAD7539E65}">
      <x14:conditionalFormattings>
        <x14:conditionalFormatting>
          <x14:cfRule type="dataBar" priority="4" id="{42C5FA43-5C83-ACD8-4094-A3E0AE5D87F8}">
            <x14:dataBar>
              <x14:cfvo type="min"/>
              <x14:cfvo type="max"/>
              <x14:fillColor rgb="FF1D4ED8"/>
              <x14:negativeFillColor auto="1"/>
              <x14:axisColor auto="1"/>
            </x14:dataBar>
          </x14:cfRule>
          <xm:sqref>E5:E11</xm:sqref>
        </x14:conditionalFormatting>
      </x14:conditionalFormattings>
    </x:ext>
  </x:extLst>
</x:worksheet>
</file>

<file path=xl/worksheets/sheet3.xml><?xml version="1.0" encoding="utf-8"?>
<x:worksheet xmlns:x="http://schemas.openxmlformats.org/spreadsheetml/2006/main">
  <x:sheetFormatPr defaultRowHeight="14.25"/>
  <x:cols>
    <x:col min="1" max="1" width="18" customWidth="1"/>
    <x:col min="2" max="2" width="10" customWidth="1"/>
    <x:col min="3" max="3" width="28" customWidth="1"/>
    <x:col min="4" max="4" width="36" customWidth="1"/>
    <x:col min="5" max="5" width="32" customWidth="1"/>
    <x:col min="6" max="6" width="36" customWidth="1"/>
    <x:col min="7" max="7" width="30" customWidth="1"/>
  </x:cols>
  <x:sheetData>
    <x:row r="1" ht="30" customHeight="1">
      <x:c r="A1" s="13" t="str">
        <x:v>Session 1 - Total Futball IQ</x:v>
      </x:c>
      <x:c r="B1" s="13"/>
      <x:c r="C1" s="13"/>
      <x:c r="D1" s="13"/>
      <x:c r="E1" s="13"/>
      <x:c r="F1" s="13"/>
      <x:c r="G1" s="13"/>
      <x:c r="H1" s="2"/>
      <x:c r="I1" s="2"/>
      <x:c r="J1" s="2"/>
      <x:c r="K1" s="2"/>
      <x:c r="L1" s="2"/>
      <x:c r="M1" s="2"/>
      <x:c r="N1" s="2"/>
      <x:c r="O1" s="2"/>
      <x:c r="P1" s="2"/>
      <x:c r="Q1" s="2"/>
      <x:c r="R1" s="2"/>
      <x:c r="S1" s="2"/>
      <x:c r="T1" s="2"/>
      <x:c r="U1" s="2"/>
      <x:c r="V1" s="2"/>
      <x:c r="W1" s="2"/>
      <x:c r="X1" s="2"/>
      <x:c r="Y1" s="2"/>
      <x:c r="Z1" s="2"/>
    </x:row>
    <x:row r="2" ht="45" customHeight="1">
      <x:c r="A2" s="15" t="s">
        <x:v>131</x:v>
      </x:c>
      <x:c r="B2" s="15"/>
      <x:c r="C2" s="15"/>
      <x:c r="D2" s="15"/>
      <x:c r="E2" s="15"/>
      <x:c r="F2" s="15"/>
      <x:c r="G2" s="15"/>
      <x:c r="H2" s="2"/>
      <x:c r="I2" s="2"/>
      <x:c r="J2" s="2"/>
      <x:c r="K2" s="2"/>
      <x:c r="L2" s="2"/>
      <x:c r="M2" s="2"/>
      <x:c r="N2" s="2"/>
      <x:c r="O2" s="2"/>
      <x:c r="P2" s="2"/>
      <x:c r="Q2" s="2"/>
      <x:c r="R2" s="2"/>
      <x:c r="S2" s="2"/>
      <x:c r="T2" s="2"/>
      <x:c r="U2" s="2"/>
      <x:c r="V2" s="2"/>
      <x:c r="W2" s="2"/>
      <x:c r="X2" s="2"/>
      <x:c r="Y2" s="2"/>
      <x:c r="Z2" s="2"/>
    </x:row>
    <x:row r="3" ht="45" customHeight="1">
      <x:c r="A3" s="15"/>
      <x:c r="B3" s="15"/>
      <x:c r="C3" s="15"/>
      <x:c r="D3" s="15"/>
      <x:c r="E3" s="15"/>
      <x:c r="F3" s="15"/>
      <x:c r="G3" s="15"/>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15">
      <x:c r="A5" s="1" t="s">
        <x:v>132</x:v>
      </x:c>
      <x:c r="B5" s="1" t="s">
        <x:v>133</x:v>
      </x:c>
      <x:c r="C5" s="1" t="s">
        <x:v>134</x:v>
      </x:c>
      <x:c r="D5" s="1" t="s">
        <x:v>135</x:v>
      </x:c>
      <x:c r="E5" s="1" t="s">
        <x:v>136</x:v>
      </x:c>
      <x:c r="F5" s="1" t="s">
        <x:v>137</x:v>
      </x:c>
      <x:c r="G5" s="1" t="s">
        <x:v>138</x:v>
      </x:c>
      <x:c r="H5" s="2"/>
      <x:c r="I5" s="2"/>
      <x:c r="J5" s="2"/>
      <x:c r="K5" s="2"/>
      <x:c r="L5" s="2"/>
      <x:c r="M5" s="2"/>
      <x:c r="N5" s="2"/>
      <x:c r="O5" s="2"/>
      <x:c r="P5" s="2"/>
      <x:c r="Q5" s="2"/>
      <x:c r="R5" s="2"/>
      <x:c r="S5" s="2"/>
      <x:c r="T5" s="2"/>
      <x:c r="U5" s="2"/>
      <x:c r="V5" s="2"/>
      <x:c r="W5" s="2"/>
      <x:c r="X5" s="2"/>
      <x:c r="Y5" s="2"/>
      <x:c r="Z5" s="2"/>
    </x:row>
    <x:row r="6" ht="28.5">
      <x:c r="A6" s="2" t="s">
        <x:v>139</x:v>
      </x:c>
      <x:c r="B6" s="2">
        <x:v>8</x:v>
      </x:c>
      <x:c r="C6" s="2" t="s">
        <x:v>140</x:v>
      </x:c>
      <x:c r="D6" s="2" t="s">
        <x:v>141</x:v>
      </x:c>
      <x:c r="E6" s="2" t="s">
        <x:v>142</x:v>
      </x:c>
      <x:c r="F6" s="2" t="s">
        <x:v>143</x:v>
      </x:c>
      <x:c r="G6" s="2" t="s">
        <x:v>144</x:v>
      </x:c>
      <x:c r="H6" s="2"/>
      <x:c r="I6" s="2"/>
      <x:c r="J6" s="2"/>
      <x:c r="K6" s="2"/>
      <x:c r="L6" s="2"/>
      <x:c r="M6" s="2"/>
      <x:c r="N6" s="2"/>
      <x:c r="O6" s="2"/>
      <x:c r="P6" s="2"/>
      <x:c r="Q6" s="2"/>
      <x:c r="R6" s="2"/>
      <x:c r="S6" s="2"/>
      <x:c r="T6" s="2"/>
      <x:c r="U6" s="2"/>
      <x:c r="V6" s="2"/>
      <x:c r="W6" s="2"/>
      <x:c r="X6" s="2"/>
      <x:c r="Y6" s="2"/>
      <x:c r="Z6" s="2"/>
    </x:row>
    <x:row r="7" ht="28.5">
      <x:c r="A7" s="2" t="s">
        <x:v>145</x:v>
      </x:c>
      <x:c r="B7" s="2">
        <x:v>10</x:v>
      </x:c>
      <x:c r="C7" s="2" t="s">
        <x:v>146</x:v>
      </x:c>
      <x:c r="D7" s="2" t="s">
        <x:v>147</x:v>
      </x:c>
      <x:c r="E7" s="2" t="s">
        <x:v>148</x:v>
      </x:c>
      <x:c r="F7" s="2" t="s">
        <x:v>149</x:v>
      </x:c>
      <x:c r="G7" s="2" t="s">
        <x:v>150</x:v>
      </x:c>
      <x:c r="H7" s="2"/>
      <x:c r="I7" s="2"/>
      <x:c r="J7" s="2"/>
      <x:c r="K7" s="2"/>
      <x:c r="L7" s="2"/>
      <x:c r="M7" s="2"/>
      <x:c r="N7" s="2"/>
      <x:c r="O7" s="2"/>
      <x:c r="P7" s="2"/>
      <x:c r="Q7" s="2"/>
      <x:c r="R7" s="2"/>
      <x:c r="S7" s="2"/>
      <x:c r="T7" s="2"/>
      <x:c r="U7" s="2"/>
      <x:c r="V7" s="2"/>
      <x:c r="W7" s="2"/>
      <x:c r="X7" s="2"/>
      <x:c r="Y7" s="2"/>
      <x:c r="Z7" s="2"/>
    </x:row>
    <x:row r="8" ht="28.5">
      <x:c r="A8" s="2" t="s">
        <x:v>151</x:v>
      </x:c>
      <x:c r="B8" s="2">
        <x:v>12</x:v>
      </x:c>
      <x:c r="C8" s="2" t="s">
        <x:v>152</x:v>
      </x:c>
      <x:c r="D8" s="2" t="s">
        <x:v>153</x:v>
      </x:c>
      <x:c r="E8" s="2" t="s">
        <x:v>154</x:v>
      </x:c>
      <x:c r="F8" s="2" t="s">
        <x:v>155</x:v>
      </x:c>
      <x:c r="G8" s="2" t="s">
        <x:v>156</x:v>
      </x:c>
      <x:c r="H8" s="2"/>
      <x:c r="I8" s="2"/>
      <x:c r="J8" s="2"/>
      <x:c r="K8" s="2"/>
      <x:c r="L8" s="2"/>
      <x:c r="M8" s="2"/>
      <x:c r="N8" s="2"/>
      <x:c r="O8" s="2"/>
      <x:c r="P8" s="2"/>
      <x:c r="Q8" s="2"/>
      <x:c r="R8" s="2"/>
      <x:c r="S8" s="2"/>
      <x:c r="T8" s="2"/>
      <x:c r="U8" s="2"/>
      <x:c r="V8" s="2"/>
      <x:c r="W8" s="2"/>
      <x:c r="X8" s="2"/>
      <x:c r="Y8" s="2"/>
      <x:c r="Z8" s="2"/>
    </x:row>
    <x:row r="9" ht="42.75">
      <x:c r="A9" s="2" t="s">
        <x:v>157</x:v>
      </x:c>
      <x:c r="B9" s="2">
        <x:v>12</x:v>
      </x:c>
      <x:c r="C9" s="2" t="s">
        <x:v>158</x:v>
      </x:c>
      <x:c r="D9" s="2" t="s">
        <x:v>159</x:v>
      </x:c>
      <x:c r="E9" s="2" t="s">
        <x:v>160</x:v>
      </x:c>
      <x:c r="F9" s="2" t="s">
        <x:v>161</x:v>
      </x:c>
      <x:c r="G9" s="2" t="s">
        <x:v>162</x:v>
      </x:c>
      <x:c r="H9" s="2"/>
      <x:c r="I9" s="2"/>
      <x:c r="J9" s="2"/>
      <x:c r="K9" s="2"/>
      <x:c r="L9" s="2"/>
      <x:c r="M9" s="2"/>
      <x:c r="N9" s="2"/>
      <x:c r="O9" s="2"/>
      <x:c r="P9" s="2"/>
      <x:c r="Q9" s="2"/>
      <x:c r="R9" s="2"/>
      <x:c r="S9" s="2"/>
      <x:c r="T9" s="2"/>
      <x:c r="U9" s="2"/>
      <x:c r="V9" s="2"/>
      <x:c r="W9" s="2"/>
      <x:c r="X9" s="2"/>
      <x:c r="Y9" s="2"/>
      <x:c r="Z9" s="2"/>
    </x:row>
    <x:row r="10" ht="28.5">
      <x:c r="A10" s="2" t="s">
        <x:v>163</x:v>
      </x:c>
      <x:c r="B10" s="2">
        <x:v>15</x:v>
      </x:c>
      <x:c r="C10" s="2" t="s">
        <x:v>164</x:v>
      </x:c>
      <x:c r="D10" s="2" t="s">
        <x:v>165</x:v>
      </x:c>
      <x:c r="E10" s="2" t="s">
        <x:v>166</x:v>
      </x:c>
      <x:c r="F10" s="2" t="s">
        <x:v>167</x:v>
      </x:c>
      <x:c r="G10" s="2" t="s">
        <x:v>168</x:v>
      </x:c>
      <x:c r="H10" s="2"/>
      <x:c r="I10" s="2"/>
      <x:c r="J10" s="2"/>
      <x:c r="K10" s="2"/>
      <x:c r="L10" s="2"/>
      <x:c r="M10" s="2"/>
      <x:c r="N10" s="2"/>
      <x:c r="O10" s="2"/>
      <x:c r="P10" s="2"/>
      <x:c r="Q10" s="2"/>
      <x:c r="R10" s="2"/>
      <x:c r="S10" s="2"/>
      <x:c r="T10" s="2"/>
      <x:c r="U10" s="2"/>
      <x:c r="V10" s="2"/>
      <x:c r="W10" s="2"/>
      <x:c r="X10" s="2"/>
      <x:c r="Y10" s="2"/>
      <x:c r="Z10" s="2"/>
    </x:row>
    <x:row r="11" ht="28.5">
      <x:c r="A11" s="2" t="s">
        <x:v>169</x:v>
      </x:c>
      <x:c r="B11" s="2">
        <x:v>5</x:v>
      </x:c>
      <x:c r="C11" s="2" t="s">
        <x:v>170</x:v>
      </x:c>
      <x:c r="D11" s="2" t="s">
        <x:v>171</x:v>
      </x:c>
      <x:c r="E11" s="2" t="s">
        <x:v>172</x:v>
      </x:c>
      <x:c r="F11" s="2" t="s">
        <x:v>173</x:v>
      </x:c>
      <x:c r="G11" s="2" t="s">
        <x:v>174</x:v>
      </x:c>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21.950000762939453" customHeight="1">
      <x:c r="A13" s="14" t="s">
        <x:v>175</x:v>
      </x:c>
      <x:c r="B13" s="14"/>
      <x:c r="C13" s="14"/>
      <x:c r="D13" s="14"/>
      <x:c r="E13" s="14"/>
      <x:c r="F13" s="14"/>
      <x:c r="G13" s="14"/>
      <x:c r="H13" s="2"/>
      <x:c r="I13" s="2"/>
      <x:c r="J13" s="2"/>
      <x:c r="K13" s="2"/>
      <x:c r="L13" s="2"/>
      <x:c r="M13" s="2"/>
      <x:c r="N13" s="2"/>
      <x:c r="O13" s="2"/>
      <x:c r="P13" s="2"/>
      <x:c r="Q13" s="2"/>
      <x:c r="R13" s="2"/>
      <x:c r="S13" s="2"/>
      <x:c r="T13" s="2"/>
      <x:c r="U13" s="2"/>
      <x:c r="V13" s="2"/>
      <x:c r="W13" s="2"/>
      <x:c r="X13" s="2"/>
      <x:c r="Y13" s="2"/>
      <x:c r="Z13" s="2"/>
    </x:row>
    <x:row r="14" ht="48" customHeight="1">
      <x:c r="A14" s="15" t="s">
        <x:v>176</x:v>
      </x:c>
      <x:c r="B14" s="15"/>
      <x:c r="C14" s="15"/>
      <x:c r="D14" s="15"/>
      <x:c r="E14" s="15"/>
      <x:c r="F14" s="15"/>
      <x:c r="G14" s="15"/>
      <x:c r="H14" s="2"/>
      <x:c r="I14" s="2"/>
      <x:c r="J14" s="2"/>
      <x:c r="K14" s="2"/>
      <x:c r="L14" s="2"/>
      <x:c r="M14" s="2"/>
      <x:c r="N14" s="2"/>
      <x:c r="O14" s="2"/>
      <x:c r="P14" s="2"/>
      <x:c r="Q14" s="2"/>
      <x:c r="R14" s="2"/>
      <x:c r="S14" s="2"/>
      <x:c r="T14" s="2"/>
      <x:c r="U14" s="2"/>
      <x:c r="V14" s="2"/>
      <x:c r="W14" s="2"/>
      <x:c r="X14" s="2"/>
      <x:c r="Y14" s="2"/>
      <x:c r="Z14" s="2"/>
    </x:row>
    <x:row r="15" ht="48" customHeight="1">
      <x:c r="A15" s="15"/>
      <x:c r="B15" s="15"/>
      <x:c r="C15" s="15"/>
      <x:c r="D15" s="15"/>
      <x:c r="E15" s="15"/>
      <x:c r="F15" s="15"/>
      <x:c r="G15" s="15"/>
      <x:c r="H15" s="2"/>
      <x:c r="I15" s="2"/>
      <x:c r="J15" s="2"/>
      <x:c r="K15" s="2"/>
      <x:c r="L15" s="2"/>
      <x:c r="M15" s="2"/>
      <x:c r="N15" s="2"/>
      <x:c r="O15" s="2"/>
      <x:c r="P15" s="2"/>
      <x:c r="Q15" s="2"/>
      <x:c r="R15" s="2"/>
      <x:c r="S15" s="2"/>
      <x:c r="T15" s="2"/>
      <x:c r="U15" s="2"/>
      <x:c r="V15" s="2"/>
      <x:c r="W15" s="2"/>
      <x:c r="X15" s="2"/>
      <x:c r="Y15" s="2"/>
      <x:c r="Z15" s="2"/>
    </x:row>
    <x:row r="16" ht="48" customHeight="1">
      <x:c r="A16" s="15"/>
      <x:c r="B16" s="15"/>
      <x:c r="C16" s="15"/>
      <x:c r="D16" s="15"/>
      <x:c r="E16" s="15"/>
      <x:c r="F16" s="15"/>
      <x:c r="G16" s="15"/>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1:G1"/>
    <x:mergeCell ref="A2:G3"/>
    <x:mergeCell ref="A13:G13"/>
    <x:mergeCell ref="A14:G16"/>
  </x:mergeCells>
  <x:pageMargins left="0.7" right="0.7" top="0.75" bottom="0.75" header="0.3" footer="0.3"/>
  <x:tableParts count="1">
    <x:tablePart xmlns:r="http://schemas.openxmlformats.org/officeDocument/2006/relationships" r:id="R0135cd2536514e69"/>
  </x:tableParts>
</x:worksheet>
</file>

<file path=xl/worksheets/sheet4.xml><?xml version="1.0" encoding="utf-8"?>
<x:worksheet xmlns:x="http://schemas.openxmlformats.org/spreadsheetml/2006/main">
  <x:sheetFormatPr defaultRowHeight="14.25"/>
  <x:cols>
    <x:col min="1" max="1" width="18" customWidth="1"/>
    <x:col min="2" max="2" width="10" customWidth="1"/>
    <x:col min="3" max="3" width="28" customWidth="1"/>
    <x:col min="4" max="4" width="36" customWidth="1"/>
    <x:col min="5" max="5" width="32" customWidth="1"/>
    <x:col min="6" max="6" width="36" customWidth="1"/>
    <x:col min="7" max="7" width="30" customWidth="1"/>
  </x:cols>
  <x:sheetData>
    <x:row r="1" ht="30" customHeight="1">
      <x:c r="A1" s="13" t="s">
        <x:v>177</x:v>
      </x:c>
      <x:c r="B1" s="13"/>
      <x:c r="C1" s="13"/>
      <x:c r="D1" s="13"/>
      <x:c r="E1" s="13"/>
      <x:c r="F1" s="13"/>
      <x:c r="G1" s="13"/>
      <x:c r="H1" s="2"/>
      <x:c r="I1" s="2"/>
      <x:c r="J1" s="2"/>
      <x:c r="K1" s="2"/>
      <x:c r="L1" s="2"/>
      <x:c r="M1" s="2"/>
      <x:c r="N1" s="2"/>
      <x:c r="O1" s="2"/>
      <x:c r="P1" s="2"/>
      <x:c r="Q1" s="2"/>
      <x:c r="R1" s="2"/>
      <x:c r="S1" s="2"/>
      <x:c r="T1" s="2"/>
      <x:c r="U1" s="2"/>
      <x:c r="V1" s="2"/>
      <x:c r="W1" s="2"/>
      <x:c r="X1" s="2"/>
      <x:c r="Y1" s="2"/>
      <x:c r="Z1" s="2"/>
    </x:row>
    <x:row r="2" ht="45" customHeight="1">
      <x:c r="A2" s="15" t="s">
        <x:v>178</x:v>
      </x:c>
      <x:c r="B2" s="15"/>
      <x:c r="C2" s="15"/>
      <x:c r="D2" s="15"/>
      <x:c r="E2" s="15"/>
      <x:c r="F2" s="15"/>
      <x:c r="G2" s="15"/>
      <x:c r="H2" s="2"/>
      <x:c r="I2" s="2"/>
      <x:c r="J2" s="2"/>
      <x:c r="K2" s="2"/>
      <x:c r="L2" s="2"/>
      <x:c r="M2" s="2"/>
      <x:c r="N2" s="2"/>
      <x:c r="O2" s="2"/>
      <x:c r="P2" s="2"/>
      <x:c r="Q2" s="2"/>
      <x:c r="R2" s="2"/>
      <x:c r="S2" s="2"/>
      <x:c r="T2" s="2"/>
      <x:c r="U2" s="2"/>
      <x:c r="V2" s="2"/>
      <x:c r="W2" s="2"/>
      <x:c r="X2" s="2"/>
      <x:c r="Y2" s="2"/>
      <x:c r="Z2" s="2"/>
    </x:row>
    <x:row r="3" ht="45" customHeight="1">
      <x:c r="A3" s="15"/>
      <x:c r="B3" s="15"/>
      <x:c r="C3" s="15"/>
      <x:c r="D3" s="15"/>
      <x:c r="E3" s="15"/>
      <x:c r="F3" s="15"/>
      <x:c r="G3" s="15"/>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15">
      <x:c r="A5" s="1" t="s">
        <x:v>132</x:v>
      </x:c>
      <x:c r="B5" s="1" t="s">
        <x:v>133</x:v>
      </x:c>
      <x:c r="C5" s="1" t="s">
        <x:v>134</x:v>
      </x:c>
      <x:c r="D5" s="1" t="s">
        <x:v>135</x:v>
      </x:c>
      <x:c r="E5" s="1" t="s">
        <x:v>136</x:v>
      </x:c>
      <x:c r="F5" s="1" t="s">
        <x:v>137</x:v>
      </x:c>
      <x:c r="G5" s="1" t="s">
        <x:v>138</x:v>
      </x:c>
      <x:c r="H5" s="2"/>
      <x:c r="I5" s="2"/>
      <x:c r="J5" s="2"/>
      <x:c r="K5" s="2"/>
      <x:c r="L5" s="2"/>
      <x:c r="M5" s="2"/>
      <x:c r="N5" s="2"/>
      <x:c r="O5" s="2"/>
      <x:c r="P5" s="2"/>
      <x:c r="Q5" s="2"/>
      <x:c r="R5" s="2"/>
      <x:c r="S5" s="2"/>
      <x:c r="T5" s="2"/>
      <x:c r="U5" s="2"/>
      <x:c r="V5" s="2"/>
      <x:c r="W5" s="2"/>
      <x:c r="X5" s="2"/>
      <x:c r="Y5" s="2"/>
      <x:c r="Z5" s="2"/>
    </x:row>
    <x:row r="6">
      <x:c r="A6" s="2" t="s">
        <x:v>139</x:v>
      </x:c>
      <x:c r="B6" s="2">
        <x:v>8</x:v>
      </x:c>
      <x:c r="C6" s="2" t="s">
        <x:v>179</x:v>
      </x:c>
      <x:c r="D6" s="2" t="s">
        <x:v>180</x:v>
      </x:c>
      <x:c r="E6" s="2" t="s">
        <x:v>181</x:v>
      </x:c>
      <x:c r="F6" s="2" t="s">
        <x:v>182</x:v>
      </x:c>
      <x:c r="G6" s="2" t="s">
        <x:v>183</x:v>
      </x:c>
      <x:c r="H6" s="2"/>
      <x:c r="I6" s="2"/>
      <x:c r="J6" s="2"/>
      <x:c r="K6" s="2"/>
      <x:c r="L6" s="2"/>
      <x:c r="M6" s="2"/>
      <x:c r="N6" s="2"/>
      <x:c r="O6" s="2"/>
      <x:c r="P6" s="2"/>
      <x:c r="Q6" s="2"/>
      <x:c r="R6" s="2"/>
      <x:c r="S6" s="2"/>
      <x:c r="T6" s="2"/>
      <x:c r="U6" s="2"/>
      <x:c r="V6" s="2"/>
      <x:c r="W6" s="2"/>
      <x:c r="X6" s="2"/>
      <x:c r="Y6" s="2"/>
      <x:c r="Z6" s="2"/>
    </x:row>
    <x:row r="7" ht="28.5">
      <x:c r="A7" s="2" t="s">
        <x:v>184</x:v>
      </x:c>
      <x:c r="B7" s="2">
        <x:v>12</x:v>
      </x:c>
      <x:c r="C7" s="2" t="s">
        <x:v>185</x:v>
      </x:c>
      <x:c r="D7" s="2" t="s">
        <x:v>186</x:v>
      </x:c>
      <x:c r="E7" s="2" t="s">
        <x:v>187</x:v>
      </x:c>
      <x:c r="F7" s="2" t="s">
        <x:v>188</x:v>
      </x:c>
      <x:c r="G7" s="2" t="s">
        <x:v>189</x:v>
      </x:c>
      <x:c r="H7" s="2"/>
      <x:c r="I7" s="2"/>
      <x:c r="J7" s="2"/>
      <x:c r="K7" s="2"/>
      <x:c r="L7" s="2"/>
      <x:c r="M7" s="2"/>
      <x:c r="N7" s="2"/>
      <x:c r="O7" s="2"/>
      <x:c r="P7" s="2"/>
      <x:c r="Q7" s="2"/>
      <x:c r="R7" s="2"/>
      <x:c r="S7" s="2"/>
      <x:c r="T7" s="2"/>
      <x:c r="U7" s="2"/>
      <x:c r="V7" s="2"/>
      <x:c r="W7" s="2"/>
      <x:c r="X7" s="2"/>
      <x:c r="Y7" s="2"/>
      <x:c r="Z7" s="2"/>
    </x:row>
    <x:row r="8" ht="28.5">
      <x:c r="A8" s="2" t="s">
        <x:v>190</x:v>
      </x:c>
      <x:c r="B8" s="2">
        <x:v>10</x:v>
      </x:c>
      <x:c r="C8" s="2" t="s">
        <x:v>191</x:v>
      </x:c>
      <x:c r="D8" s="2" t="s">
        <x:v>192</x:v>
      </x:c>
      <x:c r="E8" s="2" t="s">
        <x:v>193</x:v>
      </x:c>
      <x:c r="F8" s="2" t="s">
        <x:v>194</x:v>
      </x:c>
      <x:c r="G8" s="2" t="s">
        <x:v>195</x:v>
      </x:c>
      <x:c r="H8" s="2"/>
      <x:c r="I8" s="2"/>
      <x:c r="J8" s="2"/>
      <x:c r="K8" s="2"/>
      <x:c r="L8" s="2"/>
      <x:c r="M8" s="2"/>
      <x:c r="N8" s="2"/>
      <x:c r="O8" s="2"/>
      <x:c r="P8" s="2"/>
      <x:c r="Q8" s="2"/>
      <x:c r="R8" s="2"/>
      <x:c r="S8" s="2"/>
      <x:c r="T8" s="2"/>
      <x:c r="U8" s="2"/>
      <x:c r="V8" s="2"/>
      <x:c r="W8" s="2"/>
      <x:c r="X8" s="2"/>
      <x:c r="Y8" s="2"/>
      <x:c r="Z8" s="2"/>
    </x:row>
    <x:row r="9" ht="28.5">
      <x:c r="A9" s="2" t="s">
        <x:v>196</x:v>
      </x:c>
      <x:c r="B9" s="2">
        <x:v>15</x:v>
      </x:c>
      <x:c r="C9" s="2" t="s">
        <x:v>197</x:v>
      </x:c>
      <x:c r="D9" s="2" t="s">
        <x:v>198</x:v>
      </x:c>
      <x:c r="E9" s="2" t="str">
        <x:v>Same box; athlete attacks</x:v>
      </x:c>
      <x:c r="F9" s="2" t="s">
        <x:v>199</x:v>
      </x:c>
      <x:c r="G9" s="2" t="s">
        <x:v>200</x:v>
      </x:c>
      <x:c r="H9" s="2"/>
      <x:c r="I9" s="2"/>
      <x:c r="J9" s="2"/>
      <x:c r="K9" s="2"/>
      <x:c r="L9" s="2"/>
      <x:c r="M9" s="2"/>
      <x:c r="N9" s="2"/>
      <x:c r="O9" s="2"/>
      <x:c r="P9" s="2"/>
      <x:c r="Q9" s="2"/>
      <x:c r="R9" s="2"/>
      <x:c r="S9" s="2"/>
      <x:c r="T9" s="2"/>
      <x:c r="U9" s="2"/>
      <x:c r="V9" s="2"/>
      <x:c r="W9" s="2"/>
      <x:c r="X9" s="2"/>
      <x:c r="Y9" s="2"/>
      <x:c r="Z9" s="2"/>
    </x:row>
    <x:row r="10">
      <x:c r="A10" s="2" t="s">
        <x:v>201</x:v>
      </x:c>
      <x:c r="B10" s="2">
        <x:v>15</x:v>
      </x:c>
      <x:c r="C10" s="2" t="s">
        <x:v>202</x:v>
      </x:c>
      <x:c r="D10" s="2" t="str">
        <x:v>Same box; athlete attacks</x:v>
      </x:c>
      <x:c r="E10" s="2" t="s">
        <x:v>203</x:v>
      </x:c>
      <x:c r="F10" s="2" t="s">
        <x:v>204</x:v>
      </x:c>
      <x:c r="G10" s="2" t="s">
        <x:v>205</x:v>
      </x:c>
      <x:c r="H10" s="2"/>
      <x:c r="I10" s="2"/>
      <x:c r="J10" s="2"/>
      <x:c r="K10" s="2"/>
      <x:c r="L10" s="2"/>
      <x:c r="M10" s="2"/>
      <x:c r="N10" s="2"/>
      <x:c r="O10" s="2"/>
      <x:c r="P10" s="2"/>
      <x:c r="Q10" s="2"/>
      <x:c r="R10" s="2"/>
      <x:c r="S10" s="2"/>
      <x:c r="T10" s="2"/>
      <x:c r="U10" s="2"/>
      <x:c r="V10" s="2"/>
      <x:c r="W10" s="2"/>
      <x:c r="X10" s="2"/>
      <x:c r="Y10" s="2"/>
      <x:c r="Z10" s="2"/>
    </x:row>
    <x:row r="11" ht="28.5">
      <x:c r="A11" s="2" t="s">
        <x:v>206</x:v>
      </x:c>
      <x:c r="B11" s="2">
        <x:v>8</x:v>
      </x:c>
      <x:c r="C11" s="2" t="s">
        <x:v>61</x:v>
      </x:c>
      <x:c r="D11" s="2" t="s">
        <x:v>207</x:v>
      </x:c>
      <x:c r="E11" s="2" t="s">
        <x:v>208</x:v>
      </x:c>
      <x:c r="F11" s="2" t="s">
        <x:v>209</x:v>
      </x:c>
      <x:c r="G11" s="2" t="s">
        <x:v>210</x:v>
      </x:c>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21.950000762939453" customHeight="1">
      <x:c r="A13" s="14" t="s">
        <x:v>175</x:v>
      </x:c>
      <x:c r="B13" s="14"/>
      <x:c r="C13" s="14"/>
      <x:c r="D13" s="14"/>
      <x:c r="E13" s="14"/>
      <x:c r="F13" s="14"/>
      <x:c r="G13" s="14"/>
      <x:c r="H13" s="2"/>
      <x:c r="I13" s="2"/>
      <x:c r="J13" s="2"/>
      <x:c r="K13" s="2"/>
      <x:c r="L13" s="2"/>
      <x:c r="M13" s="2"/>
      <x:c r="N13" s="2"/>
      <x:c r="O13" s="2"/>
      <x:c r="P13" s="2"/>
      <x:c r="Q13" s="2"/>
      <x:c r="R13" s="2"/>
      <x:c r="S13" s="2"/>
      <x:c r="T13" s="2"/>
      <x:c r="U13" s="2"/>
      <x:c r="V13" s="2"/>
      <x:c r="W13" s="2"/>
      <x:c r="X13" s="2"/>
      <x:c r="Y13" s="2"/>
      <x:c r="Z13" s="2"/>
    </x:row>
    <x:row r="14" ht="48" customHeight="1">
      <x:c r="A14" s="15" t="s">
        <x:v>211</x:v>
      </x:c>
      <x:c r="B14" s="15"/>
      <x:c r="C14" s="15"/>
      <x:c r="D14" s="15"/>
      <x:c r="E14" s="15"/>
      <x:c r="F14" s="15"/>
      <x:c r="G14" s="15"/>
      <x:c r="H14" s="2"/>
      <x:c r="I14" s="2"/>
      <x:c r="J14" s="2"/>
      <x:c r="K14" s="2"/>
      <x:c r="L14" s="2"/>
      <x:c r="M14" s="2"/>
      <x:c r="N14" s="2"/>
      <x:c r="O14" s="2"/>
      <x:c r="P14" s="2"/>
      <x:c r="Q14" s="2"/>
      <x:c r="R14" s="2"/>
      <x:c r="S14" s="2"/>
      <x:c r="T14" s="2"/>
      <x:c r="U14" s="2"/>
      <x:c r="V14" s="2"/>
      <x:c r="W14" s="2"/>
      <x:c r="X14" s="2"/>
      <x:c r="Y14" s="2"/>
      <x:c r="Z14" s="2"/>
    </x:row>
    <x:row r="15" ht="48" customHeight="1">
      <x:c r="A15" s="15"/>
      <x:c r="B15" s="15"/>
      <x:c r="C15" s="15"/>
      <x:c r="D15" s="15"/>
      <x:c r="E15" s="15"/>
      <x:c r="F15" s="15"/>
      <x:c r="G15" s="15"/>
      <x:c r="H15" s="2"/>
      <x:c r="I15" s="2"/>
      <x:c r="J15" s="2"/>
      <x:c r="K15" s="2"/>
      <x:c r="L15" s="2"/>
      <x:c r="M15" s="2"/>
      <x:c r="N15" s="2"/>
      <x:c r="O15" s="2"/>
      <x:c r="P15" s="2"/>
      <x:c r="Q15" s="2"/>
      <x:c r="R15" s="2"/>
      <x:c r="S15" s="2"/>
      <x:c r="T15" s="2"/>
      <x:c r="U15" s="2"/>
      <x:c r="V15" s="2"/>
      <x:c r="W15" s="2"/>
      <x:c r="X15" s="2"/>
      <x:c r="Y15" s="2"/>
      <x:c r="Z15" s="2"/>
    </x:row>
    <x:row r="16" ht="48" customHeight="1">
      <x:c r="A16" s="15"/>
      <x:c r="B16" s="15"/>
      <x:c r="C16" s="15"/>
      <x:c r="D16" s="15"/>
      <x:c r="E16" s="15"/>
      <x:c r="F16" s="15"/>
      <x:c r="G16" s="15"/>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1:G1"/>
    <x:mergeCell ref="A2:G3"/>
    <x:mergeCell ref="A13:G13"/>
    <x:mergeCell ref="A14:G16"/>
  </x:mergeCells>
  <x:pageMargins left="0.7" right="0.7" top="0.75" bottom="0.75" header="0.3" footer="0.3"/>
  <x:tableParts count="1">
    <x:tablePart xmlns:r="http://schemas.openxmlformats.org/officeDocument/2006/relationships" r:id="Rf004751f78a54888"/>
  </x:tableParts>
</x:worksheet>
</file>

<file path=xl/worksheets/sheet5.xml><?xml version="1.0" encoding="utf-8"?>
<x:worksheet xmlns:x="http://schemas.openxmlformats.org/spreadsheetml/2006/main">
  <x:sheetFormatPr defaultRowHeight="14.25"/>
  <x:cols>
    <x:col min="1" max="1" width="18" customWidth="1"/>
    <x:col min="2" max="2" width="10" customWidth="1"/>
    <x:col min="3" max="3" width="28" customWidth="1"/>
    <x:col min="4" max="4" width="36" customWidth="1"/>
    <x:col min="5" max="5" width="32" customWidth="1"/>
    <x:col min="6" max="6" width="36" customWidth="1"/>
    <x:col min="7" max="7" width="30" customWidth="1"/>
  </x:cols>
  <x:sheetData>
    <x:row r="1" ht="30" customHeight="1">
      <x:c r="A1" s="13" t="s">
        <x:v>212</x:v>
      </x:c>
      <x:c r="B1" s="13"/>
      <x:c r="C1" s="13"/>
      <x:c r="D1" s="13"/>
      <x:c r="E1" s="13"/>
      <x:c r="F1" s="13"/>
      <x:c r="G1" s="13"/>
      <x:c r="H1" s="2"/>
      <x:c r="I1" s="2"/>
      <x:c r="J1" s="2"/>
      <x:c r="K1" s="2"/>
      <x:c r="L1" s="2"/>
      <x:c r="M1" s="2"/>
      <x:c r="N1" s="2"/>
      <x:c r="O1" s="2"/>
      <x:c r="P1" s="2"/>
      <x:c r="Q1" s="2"/>
      <x:c r="R1" s="2"/>
      <x:c r="S1" s="2"/>
      <x:c r="T1" s="2"/>
      <x:c r="U1" s="2"/>
      <x:c r="V1" s="2"/>
      <x:c r="W1" s="2"/>
      <x:c r="X1" s="2"/>
      <x:c r="Y1" s="2"/>
      <x:c r="Z1" s="2"/>
    </x:row>
    <x:row r="2" ht="45" customHeight="1">
      <x:c r="A2" s="15" t="s">
        <x:v>213</x:v>
      </x:c>
      <x:c r="B2" s="15"/>
      <x:c r="C2" s="15"/>
      <x:c r="D2" s="15"/>
      <x:c r="E2" s="15"/>
      <x:c r="F2" s="15"/>
      <x:c r="G2" s="15"/>
      <x:c r="H2" s="2"/>
      <x:c r="I2" s="2"/>
      <x:c r="J2" s="2"/>
      <x:c r="K2" s="2"/>
      <x:c r="L2" s="2"/>
      <x:c r="M2" s="2"/>
      <x:c r="N2" s="2"/>
      <x:c r="O2" s="2"/>
      <x:c r="P2" s="2"/>
      <x:c r="Q2" s="2"/>
      <x:c r="R2" s="2"/>
      <x:c r="S2" s="2"/>
      <x:c r="T2" s="2"/>
      <x:c r="U2" s="2"/>
      <x:c r="V2" s="2"/>
      <x:c r="W2" s="2"/>
      <x:c r="X2" s="2"/>
      <x:c r="Y2" s="2"/>
      <x:c r="Z2" s="2"/>
    </x:row>
    <x:row r="3" ht="45" customHeight="1">
      <x:c r="A3" s="15"/>
      <x:c r="B3" s="15"/>
      <x:c r="C3" s="15"/>
      <x:c r="D3" s="15"/>
      <x:c r="E3" s="15"/>
      <x:c r="F3" s="15"/>
      <x:c r="G3" s="15"/>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15">
      <x:c r="A5" s="1" t="s">
        <x:v>132</x:v>
      </x:c>
      <x:c r="B5" s="1" t="s">
        <x:v>133</x:v>
      </x:c>
      <x:c r="C5" s="1" t="s">
        <x:v>134</x:v>
      </x:c>
      <x:c r="D5" s="1" t="s">
        <x:v>135</x:v>
      </x:c>
      <x:c r="E5" s="1" t="s">
        <x:v>136</x:v>
      </x:c>
      <x:c r="F5" s="1" t="s">
        <x:v>137</x:v>
      </x:c>
      <x:c r="G5" s="1" t="s">
        <x:v>138</x:v>
      </x:c>
      <x:c r="H5" s="2"/>
      <x:c r="I5" s="2"/>
      <x:c r="J5" s="2"/>
      <x:c r="K5" s="2"/>
      <x:c r="L5" s="2"/>
      <x:c r="M5" s="2"/>
      <x:c r="N5" s="2"/>
      <x:c r="O5" s="2"/>
      <x:c r="P5" s="2"/>
      <x:c r="Q5" s="2"/>
      <x:c r="R5" s="2"/>
      <x:c r="S5" s="2"/>
      <x:c r="T5" s="2"/>
      <x:c r="U5" s="2"/>
      <x:c r="V5" s="2"/>
      <x:c r="W5" s="2"/>
      <x:c r="X5" s="2"/>
      <x:c r="Y5" s="2"/>
      <x:c r="Z5" s="2"/>
    </x:row>
    <x:row r="6" ht="28.5">
      <x:c r="A6" s="2" t="s">
        <x:v>139</x:v>
      </x:c>
      <x:c r="B6" s="2">
        <x:v>8</x:v>
      </x:c>
      <x:c r="C6" s="2" t="s">
        <x:v>214</x:v>
      </x:c>
      <x:c r="D6" s="2" t="s">
        <x:v>215</x:v>
      </x:c>
      <x:c r="E6" s="2" t="s">
        <x:v>181</x:v>
      </x:c>
      <x:c r="F6" s="2" t="s">
        <x:v>216</x:v>
      </x:c>
      <x:c r="G6" s="2" t="s">
        <x:v>217</x:v>
      </x:c>
      <x:c r="H6" s="2"/>
      <x:c r="I6" s="2"/>
      <x:c r="J6" s="2"/>
      <x:c r="K6" s="2"/>
      <x:c r="L6" s="2"/>
      <x:c r="M6" s="2"/>
      <x:c r="N6" s="2"/>
      <x:c r="O6" s="2"/>
      <x:c r="P6" s="2"/>
      <x:c r="Q6" s="2"/>
      <x:c r="R6" s="2"/>
      <x:c r="S6" s="2"/>
      <x:c r="T6" s="2"/>
      <x:c r="U6" s="2"/>
      <x:c r="V6" s="2"/>
      <x:c r="W6" s="2"/>
      <x:c r="X6" s="2"/>
      <x:c r="Y6" s="2"/>
      <x:c r="Z6" s="2"/>
    </x:row>
    <x:row r="7" ht="28.5">
      <x:c r="A7" s="2" t="s">
        <x:v>218</x:v>
      </x:c>
      <x:c r="B7" s="2">
        <x:v>10</x:v>
      </x:c>
      <x:c r="C7" s="2" t="s">
        <x:v>219</x:v>
      </x:c>
      <x:c r="D7" s="2" t="s">
        <x:v>220</x:v>
      </x:c>
      <x:c r="E7" s="2" t="s">
        <x:v>221</x:v>
      </x:c>
      <x:c r="F7" s="2" t="s">
        <x:v>222</x:v>
      </x:c>
      <x:c r="G7" s="2" t="s">
        <x:v>223</x:v>
      </x:c>
      <x:c r="H7" s="2"/>
      <x:c r="I7" s="2"/>
      <x:c r="J7" s="2"/>
      <x:c r="K7" s="2"/>
      <x:c r="L7" s="2"/>
      <x:c r="M7" s="2"/>
      <x:c r="N7" s="2"/>
      <x:c r="O7" s="2"/>
      <x:c r="P7" s="2"/>
      <x:c r="Q7" s="2"/>
      <x:c r="R7" s="2"/>
      <x:c r="S7" s="2"/>
      <x:c r="T7" s="2"/>
      <x:c r="U7" s="2"/>
      <x:c r="V7" s="2"/>
      <x:c r="W7" s="2"/>
      <x:c r="X7" s="2"/>
      <x:c r="Y7" s="2"/>
      <x:c r="Z7" s="2"/>
    </x:row>
    <x:row r="8" ht="42.75">
      <x:c r="A8" s="2" t="s">
        <x:v>224</x:v>
      </x:c>
      <x:c r="B8" s="2">
        <x:v>20</x:v>
      </x:c>
      <x:c r="C8" s="2" t="s">
        <x:v>225</x:v>
      </x:c>
      <x:c r="D8" s="2" t="s">
        <x:v>226</x:v>
      </x:c>
      <x:c r="E8" s="2" t="s">
        <x:v>227</x:v>
      </x:c>
      <x:c r="F8" s="2" t="s">
        <x:v>228</x:v>
      </x:c>
      <x:c r="G8" s="2" t="s">
        <x:v>109</x:v>
      </x:c>
      <x:c r="H8" s="2"/>
      <x:c r="I8" s="2"/>
      <x:c r="J8" s="2"/>
      <x:c r="K8" s="2"/>
      <x:c r="L8" s="2"/>
      <x:c r="M8" s="2"/>
      <x:c r="N8" s="2"/>
      <x:c r="O8" s="2"/>
      <x:c r="P8" s="2"/>
      <x:c r="Q8" s="2"/>
      <x:c r="R8" s="2"/>
      <x:c r="S8" s="2"/>
      <x:c r="T8" s="2"/>
      <x:c r="U8" s="2"/>
      <x:c r="V8" s="2"/>
      <x:c r="W8" s="2"/>
      <x:c r="X8" s="2"/>
      <x:c r="Y8" s="2"/>
      <x:c r="Z8" s="2"/>
    </x:row>
    <x:row r="9" ht="28.5">
      <x:c r="A9" s="2" t="s">
        <x:v>229</x:v>
      </x:c>
      <x:c r="B9" s="2">
        <x:v>12</x:v>
      </x:c>
      <x:c r="C9" s="2" t="s">
        <x:v>230</x:v>
      </x:c>
      <x:c r="D9" s="2" t="s">
        <x:v>231</x:v>
      </x:c>
      <x:c r="E9" s="2" t="s">
        <x:v>232</x:v>
      </x:c>
      <x:c r="F9" s="2" t="s">
        <x:v>233</x:v>
      </x:c>
      <x:c r="G9" s="2" t="s">
        <x:v>234</x:v>
      </x:c>
      <x:c r="H9" s="2"/>
      <x:c r="I9" s="2"/>
      <x:c r="J9" s="2"/>
      <x:c r="K9" s="2"/>
      <x:c r="L9" s="2"/>
      <x:c r="M9" s="2"/>
      <x:c r="N9" s="2"/>
      <x:c r="O9" s="2"/>
      <x:c r="P9" s="2"/>
      <x:c r="Q9" s="2"/>
      <x:c r="R9" s="2"/>
      <x:c r="S9" s="2"/>
      <x:c r="T9" s="2"/>
      <x:c r="U9" s="2"/>
      <x:c r="V9" s="2"/>
      <x:c r="W9" s="2"/>
      <x:c r="X9" s="2"/>
      <x:c r="Y9" s="2"/>
      <x:c r="Z9" s="2"/>
    </x:row>
    <x:row r="10" ht="28.5">
      <x:c r="A10" s="2" t="s">
        <x:v>235</x:v>
      </x:c>
      <x:c r="B10" s="2">
        <x:v>10</x:v>
      </x:c>
      <x:c r="C10" s="2" t="s">
        <x:v>236</x:v>
      </x:c>
      <x:c r="D10" s="2" t="s">
        <x:v>237</x:v>
      </x:c>
      <x:c r="E10" s="2" t="str">
        <x:v>Parent points ball side; athlete curves press</x:v>
      </x:c>
      <x:c r="F10" s="2" t="s">
        <x:v>238</x:v>
      </x:c>
      <x:c r="G10" s="2" t="s">
        <x:v>239</x:v>
      </x:c>
      <x:c r="H10" s="2"/>
      <x:c r="I10" s="2"/>
      <x:c r="J10" s="2"/>
      <x:c r="K10" s="2"/>
      <x:c r="L10" s="2"/>
      <x:c r="M10" s="2"/>
      <x:c r="N10" s="2"/>
      <x:c r="O10" s="2"/>
      <x:c r="P10" s="2"/>
      <x:c r="Q10" s="2"/>
      <x:c r="R10" s="2"/>
      <x:c r="S10" s="2"/>
      <x:c r="T10" s="2"/>
      <x:c r="U10" s="2"/>
      <x:c r="V10" s="2"/>
      <x:c r="W10" s="2"/>
      <x:c r="X10" s="2"/>
      <x:c r="Y10" s="2"/>
      <x:c r="Z10" s="2"/>
    </x:row>
    <x:row r="11">
      <x:c r="A11" s="2" t="s">
        <x:v>169</x:v>
      </x:c>
      <x:c r="B11" s="2">
        <x:v>5</x:v>
      </x:c>
      <x:c r="C11" s="2" t="s">
        <x:v>240</x:v>
      </x:c>
      <x:c r="D11" s="2" t="s">
        <x:v>241</x:v>
      </x:c>
      <x:c r="E11" s="2" t="s">
        <x:v>242</x:v>
      </x:c>
      <x:c r="F11" s="2" t="s">
        <x:v>243</x:v>
      </x:c>
      <x:c r="G11" s="2" t="s">
        <x:v>244</x:v>
      </x:c>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21.950000762939453" customHeight="1">
      <x:c r="A13" s="14" t="s">
        <x:v>175</x:v>
      </x:c>
      <x:c r="B13" s="14"/>
      <x:c r="C13" s="14"/>
      <x:c r="D13" s="14"/>
      <x:c r="E13" s="14"/>
      <x:c r="F13" s="14"/>
      <x:c r="G13" s="14"/>
      <x:c r="H13" s="2"/>
      <x:c r="I13" s="2"/>
      <x:c r="J13" s="2"/>
      <x:c r="K13" s="2"/>
      <x:c r="L13" s="2"/>
      <x:c r="M13" s="2"/>
      <x:c r="N13" s="2"/>
      <x:c r="O13" s="2"/>
      <x:c r="P13" s="2"/>
      <x:c r="Q13" s="2"/>
      <x:c r="R13" s="2"/>
      <x:c r="S13" s="2"/>
      <x:c r="T13" s="2"/>
      <x:c r="U13" s="2"/>
      <x:c r="V13" s="2"/>
      <x:c r="W13" s="2"/>
      <x:c r="X13" s="2"/>
      <x:c r="Y13" s="2"/>
      <x:c r="Z13" s="2"/>
    </x:row>
    <x:row r="14" ht="48" customHeight="1">
      <x:c r="A14" s="15" t="s">
        <x:v>245</x:v>
      </x:c>
      <x:c r="B14" s="15"/>
      <x:c r="C14" s="15"/>
      <x:c r="D14" s="15"/>
      <x:c r="E14" s="15"/>
      <x:c r="F14" s="15"/>
      <x:c r="G14" s="15"/>
      <x:c r="H14" s="2"/>
      <x:c r="I14" s="2"/>
      <x:c r="J14" s="2"/>
      <x:c r="K14" s="2"/>
      <x:c r="L14" s="2"/>
      <x:c r="M14" s="2"/>
      <x:c r="N14" s="2"/>
      <x:c r="O14" s="2"/>
      <x:c r="P14" s="2"/>
      <x:c r="Q14" s="2"/>
      <x:c r="R14" s="2"/>
      <x:c r="S14" s="2"/>
      <x:c r="T14" s="2"/>
      <x:c r="U14" s="2"/>
      <x:c r="V14" s="2"/>
      <x:c r="W14" s="2"/>
      <x:c r="X14" s="2"/>
      <x:c r="Y14" s="2"/>
      <x:c r="Z14" s="2"/>
    </x:row>
    <x:row r="15" ht="48" customHeight="1">
      <x:c r="A15" s="15"/>
      <x:c r="B15" s="15"/>
      <x:c r="C15" s="15"/>
      <x:c r="D15" s="15"/>
      <x:c r="E15" s="15"/>
      <x:c r="F15" s="15"/>
      <x:c r="G15" s="15"/>
      <x:c r="H15" s="2"/>
      <x:c r="I15" s="2"/>
      <x:c r="J15" s="2"/>
      <x:c r="K15" s="2"/>
      <x:c r="L15" s="2"/>
      <x:c r="M15" s="2"/>
      <x:c r="N15" s="2"/>
      <x:c r="O15" s="2"/>
      <x:c r="P15" s="2"/>
      <x:c r="Q15" s="2"/>
      <x:c r="R15" s="2"/>
      <x:c r="S15" s="2"/>
      <x:c r="T15" s="2"/>
      <x:c r="U15" s="2"/>
      <x:c r="V15" s="2"/>
      <x:c r="W15" s="2"/>
      <x:c r="X15" s="2"/>
      <x:c r="Y15" s="2"/>
      <x:c r="Z15" s="2"/>
    </x:row>
    <x:row r="16" ht="48" customHeight="1">
      <x:c r="A16" s="15"/>
      <x:c r="B16" s="15"/>
      <x:c r="C16" s="15"/>
      <x:c r="D16" s="15"/>
      <x:c r="E16" s="15"/>
      <x:c r="F16" s="15"/>
      <x:c r="G16" s="15"/>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1:G1"/>
    <x:mergeCell ref="A2:G3"/>
    <x:mergeCell ref="A13:G13"/>
    <x:mergeCell ref="A14:G16"/>
  </x:mergeCells>
  <x:pageMargins left="0.7" right="0.7" top="0.75" bottom="0.75" header="0.3" footer="0.3"/>
  <x:tableParts count="1">
    <x:tablePart xmlns:r="http://schemas.openxmlformats.org/officeDocument/2006/relationships" r:id="R4a1f4e000cf548bd"/>
  </x:tableParts>
</x:worksheet>
</file>

<file path=xl/worksheets/sheet6.xml><?xml version="1.0" encoding="utf-8"?>
<x:worksheet xmlns:x="http://schemas.openxmlformats.org/spreadsheetml/2006/main">
  <x:sheetFormatPr defaultRowHeight="14.25"/>
  <x:cols>
    <x:col min="1" max="2" width="10" customWidth="1"/>
    <x:col min="3" max="3" width="24" customWidth="1"/>
    <x:col min="4" max="4" width="40" customWidth="1"/>
    <x:col min="5" max="5" width="34" customWidth="1"/>
    <x:col min="6" max="6" width="28" customWidth="1"/>
  </x:cols>
  <x:sheetData>
    <x:row r="1" ht="30" customHeight="1">
      <x:c r="A1" s="13" t="s">
        <x:v>246</x:v>
      </x:c>
      <x:c r="B1" s="13"/>
      <x:c r="C1" s="13"/>
      <x:c r="D1" s="13"/>
      <x:c r="E1" s="13"/>
      <x:c r="F1" s="13"/>
      <x:c r="G1" s="2"/>
      <x:c r="H1" s="2"/>
      <x:c r="I1" s="2"/>
      <x:c r="J1" s="2"/>
      <x:c r="K1" s="2"/>
      <x:c r="L1" s="2"/>
      <x:c r="M1" s="2"/>
      <x:c r="N1" s="2"/>
      <x:c r="O1" s="2"/>
      <x:c r="P1" s="2"/>
      <x:c r="Q1" s="2"/>
      <x:c r="R1" s="2"/>
      <x:c r="S1" s="2"/>
      <x:c r="T1" s="2"/>
      <x:c r="U1" s="2"/>
      <x:c r="V1" s="2"/>
      <x:c r="W1" s="2"/>
      <x:c r="X1" s="2"/>
      <x:c r="Y1" s="2"/>
      <x:c r="Z1" s="2"/>
    </x:row>
    <x:row r="2" ht="42" customHeight="1">
      <x:c r="A2" s="15" t="s">
        <x:v>247</x:v>
      </x:c>
      <x:c r="B2" s="15"/>
      <x:c r="C2" s="15"/>
      <x:c r="D2" s="15"/>
      <x:c r="E2" s="15"/>
      <x:c r="F2" s="15"/>
      <x:c r="G2" s="2"/>
      <x:c r="H2" s="2"/>
      <x:c r="I2" s="2"/>
      <x:c r="J2" s="2"/>
      <x:c r="K2" s="2"/>
      <x:c r="L2" s="2"/>
      <x:c r="M2" s="2"/>
      <x:c r="N2" s="2"/>
      <x:c r="O2" s="2"/>
      <x:c r="P2" s="2"/>
      <x:c r="Q2" s="2"/>
      <x:c r="R2" s="2"/>
      <x:c r="S2" s="2"/>
      <x:c r="T2" s="2"/>
      <x:c r="U2" s="2"/>
      <x:c r="V2" s="2"/>
      <x:c r="W2" s="2"/>
      <x:c r="X2" s="2"/>
      <x:c r="Y2" s="2"/>
      <x:c r="Z2" s="2"/>
    </x:row>
    <x:row r="3" ht="42" customHeight="1">
      <x:c r="A3" s="15"/>
      <x:c r="B3" s="15"/>
      <x:c r="C3" s="15"/>
      <x:c r="D3" s="15"/>
      <x:c r="E3" s="15"/>
      <x:c r="F3" s="15"/>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15">
      <x:c r="A5" s="1" t="s">
        <x:v>132</x:v>
      </x:c>
      <x:c r="B5" s="1" t="s">
        <x:v>133</x:v>
      </x:c>
      <x:c r="C5" s="1" t="s">
        <x:v>248</x:v>
      </x:c>
      <x:c r="D5" s="1" t="s">
        <x:v>249</x:v>
      </x:c>
      <x:c r="E5" s="1" t="s">
        <x:v>12</x:v>
      </x:c>
      <x:c r="F5" s="1" t="s">
        <x:v>250</x:v>
      </x:c>
      <x:c r="G5" s="2"/>
      <x:c r="H5" s="2"/>
      <x:c r="I5" s="2"/>
      <x:c r="J5" s="2"/>
      <x:c r="K5" s="2"/>
      <x:c r="L5" s="2"/>
      <x:c r="M5" s="2"/>
      <x:c r="N5" s="2"/>
      <x:c r="O5" s="2"/>
      <x:c r="P5" s="2"/>
      <x:c r="Q5" s="2"/>
      <x:c r="R5" s="2"/>
      <x:c r="S5" s="2"/>
      <x:c r="T5" s="2"/>
      <x:c r="U5" s="2"/>
      <x:c r="V5" s="2"/>
      <x:c r="W5" s="2"/>
      <x:c r="X5" s="2"/>
      <x:c r="Y5" s="2"/>
      <x:c r="Z5" s="2"/>
    </x:row>
    <x:row r="6" ht="28.5">
      <x:c r="A6" s="2" t="s">
        <x:v>54</x:v>
      </x:c>
      <x:c r="B6" s="2">
        <x:v>5</x:v>
      </x:c>
      <x:c r="C6" s="2" t="s">
        <x:v>251</x:v>
      </x:c>
      <x:c r="D6" s="2" t="s">
        <x:v>252</x:v>
      </x:c>
      <x:c r="E6" s="2" t="s">
        <x:v>253</x:v>
      </x:c>
      <x:c r="F6" s="2" t="s">
        <x:v>254</x:v>
      </x:c>
      <x:c r="G6" s="2"/>
      <x:c r="H6" s="2"/>
      <x:c r="I6" s="2"/>
      <x:c r="J6" s="2"/>
      <x:c r="K6" s="2"/>
      <x:c r="L6" s="2"/>
      <x:c r="M6" s="2"/>
      <x:c r="N6" s="2"/>
      <x:c r="O6" s="2"/>
      <x:c r="P6" s="2"/>
      <x:c r="Q6" s="2"/>
      <x:c r="R6" s="2"/>
      <x:c r="S6" s="2"/>
      <x:c r="T6" s="2"/>
      <x:c r="U6" s="2"/>
      <x:c r="V6" s="2"/>
      <x:c r="W6" s="2"/>
      <x:c r="X6" s="2"/>
      <x:c r="Y6" s="2"/>
      <x:c r="Z6" s="2"/>
    </x:row>
    <x:row r="7">
      <x:c r="A7" s="2" t="s">
        <x:v>57</x:v>
      </x:c>
      <x:c r="B7" s="2">
        <x:v>5</x:v>
      </x:c>
      <x:c r="C7" s="2" t="s">
        <x:v>255</x:v>
      </x:c>
      <x:c r="D7" s="2" t="s">
        <x:v>256</x:v>
      </x:c>
      <x:c r="E7" s="2" t="s">
        <x:v>257</x:v>
      </x:c>
      <x:c r="F7" s="2" t="s">
        <x:v>258</x:v>
      </x:c>
      <x:c r="G7" s="2"/>
      <x:c r="H7" s="2"/>
      <x:c r="I7" s="2"/>
      <x:c r="J7" s="2"/>
      <x:c r="K7" s="2"/>
      <x:c r="L7" s="2"/>
      <x:c r="M7" s="2"/>
      <x:c r="N7" s="2"/>
      <x:c r="O7" s="2"/>
      <x:c r="P7" s="2"/>
      <x:c r="Q7" s="2"/>
      <x:c r="R7" s="2"/>
      <x:c r="S7" s="2"/>
      <x:c r="T7" s="2"/>
      <x:c r="U7" s="2"/>
      <x:c r="V7" s="2"/>
      <x:c r="W7" s="2"/>
      <x:c r="X7" s="2"/>
      <x:c r="Y7" s="2"/>
      <x:c r="Z7" s="2"/>
    </x:row>
    <x:row r="8" ht="28.5">
      <x:c r="A8" s="2" t="s">
        <x:v>60</x:v>
      </x:c>
      <x:c r="B8" s="2">
        <x:v>5</x:v>
      </x:c>
      <x:c r="C8" s="2" t="s">
        <x:v>259</x:v>
      </x:c>
      <x:c r="D8" s="2" t="s">
        <x:v>260</x:v>
      </x:c>
      <x:c r="E8" s="2" t="s">
        <x:v>261</x:v>
      </x:c>
      <x:c r="F8" s="2" t="s">
        <x:v>262</x:v>
      </x:c>
      <x:c r="G8" s="2"/>
      <x:c r="H8" s="2"/>
      <x:c r="I8" s="2"/>
      <x:c r="J8" s="2"/>
      <x:c r="K8" s="2"/>
      <x:c r="L8" s="2"/>
      <x:c r="M8" s="2"/>
      <x:c r="N8" s="2"/>
      <x:c r="O8" s="2"/>
      <x:c r="P8" s="2"/>
      <x:c r="Q8" s="2"/>
      <x:c r="R8" s="2"/>
      <x:c r="S8" s="2"/>
      <x:c r="T8" s="2"/>
      <x:c r="U8" s="2"/>
      <x:c r="V8" s="2"/>
      <x:c r="W8" s="2"/>
      <x:c r="X8" s="2"/>
      <x:c r="Y8" s="2"/>
      <x:c r="Z8" s="2"/>
    </x:row>
    <x:row r="9">
      <x:c r="A9" s="2" t="s">
        <x:v>63</x:v>
      </x:c>
      <x:c r="B9" s="2">
        <x:v>5</x:v>
      </x:c>
      <x:c r="C9" s="2" t="s">
        <x:v>263</x:v>
      </x:c>
      <x:c r="D9" s="2" t="s">
        <x:v>264</x:v>
      </x:c>
      <x:c r="E9" s="2" t="s">
        <x:v>265</x:v>
      </x:c>
      <x:c r="F9" s="2" t="s">
        <x:v>266</x:v>
      </x:c>
      <x:c r="G9" s="2"/>
      <x:c r="H9" s="2"/>
      <x:c r="I9" s="2"/>
      <x:c r="J9" s="2"/>
      <x:c r="K9" s="2"/>
      <x:c r="L9" s="2"/>
      <x:c r="M9" s="2"/>
      <x:c r="N9" s="2"/>
      <x:c r="O9" s="2"/>
      <x:c r="P9" s="2"/>
      <x:c r="Q9" s="2"/>
      <x:c r="R9" s="2"/>
      <x:c r="S9" s="2"/>
      <x:c r="T9" s="2"/>
      <x:c r="U9" s="2"/>
      <x:c r="V9" s="2"/>
      <x:c r="W9" s="2"/>
      <x:c r="X9" s="2"/>
      <x:c r="Y9" s="2"/>
      <x:c r="Z9" s="2"/>
    </x:row>
    <x:row r="10">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21.950000762939453" customHeight="1">
      <x:c r="A11" s="14" t="s">
        <x:v>267</x:v>
      </x:c>
      <x:c r="B11" s="14"/>
      <x:c r="C11" s="14"/>
      <x:c r="D11" s="14"/>
      <x:c r="E11" s="14"/>
      <x:c r="F11" s="14"/>
      <x:c r="G11" s="2"/>
      <x:c r="H11" s="2"/>
      <x:c r="I11" s="2"/>
      <x:c r="J11" s="2"/>
      <x:c r="K11" s="2"/>
      <x:c r="L11" s="2"/>
      <x:c r="M11" s="2"/>
      <x:c r="N11" s="2"/>
      <x:c r="O11" s="2"/>
      <x:c r="P11" s="2"/>
      <x:c r="Q11" s="2"/>
      <x:c r="R11" s="2"/>
      <x:c r="S11" s="2"/>
      <x:c r="T11" s="2"/>
      <x:c r="U11" s="2"/>
      <x:c r="V11" s="2"/>
      <x:c r="W11" s="2"/>
      <x:c r="X11" s="2"/>
      <x:c r="Y11" s="2"/>
      <x:c r="Z11" s="2"/>
    </x:row>
    <x:row r="12" ht="48" customHeight="1">
      <x:c r="A12" s="15" t="s">
        <x:v>268</x:v>
      </x:c>
      <x:c r="B12" s="15"/>
      <x:c r="C12" s="15"/>
      <x:c r="D12" s="15"/>
      <x:c r="E12" s="15"/>
      <x:c r="F12" s="15"/>
      <x:c r="G12" s="2"/>
      <x:c r="H12" s="2"/>
      <x:c r="I12" s="2"/>
      <x:c r="J12" s="2"/>
      <x:c r="K12" s="2"/>
      <x:c r="L12" s="2"/>
      <x:c r="M12" s="2"/>
      <x:c r="N12" s="2"/>
      <x:c r="O12" s="2"/>
      <x:c r="P12" s="2"/>
      <x:c r="Q12" s="2"/>
      <x:c r="R12" s="2"/>
      <x:c r="S12" s="2"/>
      <x:c r="T12" s="2"/>
      <x:c r="U12" s="2"/>
      <x:c r="V12" s="2"/>
      <x:c r="W12" s="2"/>
      <x:c r="X12" s="2"/>
      <x:c r="Y12" s="2"/>
      <x:c r="Z12" s="2"/>
    </x:row>
    <x:row r="13" ht="48" customHeight="1">
      <x:c r="A13" s="15"/>
      <x:c r="B13" s="15"/>
      <x:c r="C13" s="15"/>
      <x:c r="D13" s="15"/>
      <x:c r="E13" s="15"/>
      <x:c r="F13" s="15"/>
      <x:c r="G13" s="2"/>
      <x:c r="H13" s="2"/>
      <x:c r="I13" s="2"/>
      <x:c r="J13" s="2"/>
      <x:c r="K13" s="2"/>
      <x:c r="L13" s="2"/>
      <x:c r="M13" s="2"/>
      <x:c r="N13" s="2"/>
      <x:c r="O13" s="2"/>
      <x:c r="P13" s="2"/>
      <x:c r="Q13" s="2"/>
      <x:c r="R13" s="2"/>
      <x:c r="S13" s="2"/>
      <x:c r="T13" s="2"/>
      <x:c r="U13" s="2"/>
      <x:c r="V13" s="2"/>
      <x:c r="W13" s="2"/>
      <x:c r="X13" s="2"/>
      <x:c r="Y13" s="2"/>
      <x:c r="Z13" s="2"/>
    </x:row>
    <x:row r="14" ht="48" customHeight="1">
      <x:c r="A14" s="15"/>
      <x:c r="B14" s="15"/>
      <x:c r="C14" s="15"/>
      <x:c r="D14" s="15"/>
      <x:c r="E14" s="15"/>
      <x:c r="F14" s="15"/>
      <x:c r="G14" s="2"/>
      <x:c r="H14" s="2"/>
      <x:c r="I14" s="2"/>
      <x:c r="J14" s="2"/>
      <x:c r="K14" s="2"/>
      <x:c r="L14" s="2"/>
      <x:c r="M14" s="2"/>
      <x:c r="N14" s="2"/>
      <x:c r="O14" s="2"/>
      <x:c r="P14" s="2"/>
      <x:c r="Q14" s="2"/>
      <x:c r="R14" s="2"/>
      <x:c r="S14" s="2"/>
      <x:c r="T14" s="2"/>
      <x:c r="U14" s="2"/>
      <x:c r="V14" s="2"/>
      <x:c r="W14" s="2"/>
      <x:c r="X14" s="2"/>
      <x:c r="Y14" s="2"/>
      <x:c r="Z14" s="2"/>
    </x:row>
    <x:row r="15" ht="48" customHeight="1">
      <x:c r="A15" s="15"/>
      <x:c r="B15" s="15"/>
      <x:c r="C15" s="15"/>
      <x:c r="D15" s="15"/>
      <x:c r="E15" s="15"/>
      <x:c r="F15" s="15"/>
      <x:c r="G15" s="2"/>
      <x:c r="H15" s="2"/>
      <x:c r="I15" s="2"/>
      <x:c r="J15" s="2"/>
      <x:c r="K15" s="2"/>
      <x:c r="L15" s="2"/>
      <x:c r="M15" s="2"/>
      <x:c r="N15" s="2"/>
      <x:c r="O15" s="2"/>
      <x:c r="P15" s="2"/>
      <x:c r="Q15" s="2"/>
      <x:c r="R15" s="2"/>
      <x:c r="S15" s="2"/>
      <x:c r="T15" s="2"/>
      <x:c r="U15" s="2"/>
      <x:c r="V15" s="2"/>
      <x:c r="W15" s="2"/>
      <x:c r="X15" s="2"/>
      <x:c r="Y15" s="2"/>
      <x:c r="Z15" s="2"/>
    </x:row>
    <x:row r="16" ht="48" customHeight="1">
      <x:c r="A16" s="15"/>
      <x:c r="B16" s="15"/>
      <x:c r="C16" s="15"/>
      <x:c r="D16" s="15"/>
      <x:c r="E16" s="15"/>
      <x:c r="F16" s="15"/>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1:F1"/>
    <x:mergeCell ref="A2:F3"/>
    <x:mergeCell ref="A11:F11"/>
    <x:mergeCell ref="A12:F16"/>
  </x:mergeCells>
  <x:pageMargins left="0.7" right="0.7" top="0.75" bottom="0.75" header="0.3" footer="0.3"/>
  <x:tableParts count="1">
    <x:tablePart xmlns:r="http://schemas.openxmlformats.org/officeDocument/2006/relationships" r:id="R0eff36aa0b43498e"/>
  </x:tableParts>
</x:worksheet>
</file>

<file path=xl/worksheets/sheet7.xml><?xml version="1.0" encoding="utf-8"?>
<x:worksheet xmlns:x="http://schemas.openxmlformats.org/spreadsheetml/2006/main">
  <x:sheetFormatPr defaultRowHeight="14.25"/>
  <x:cols>
    <x:col min="1" max="1" width="7" customWidth="1"/>
    <x:col min="2" max="2" width="12" customWidth="1"/>
    <x:col min="3" max="3" width="15" customWidth="1"/>
    <x:col min="4" max="4" width="20" customWidth="1"/>
    <x:col min="5" max="6" width="14" customWidth="1"/>
    <x:col min="7" max="7" width="17" customWidth="1"/>
    <x:col min="8" max="8" width="15" customWidth="1"/>
    <x:col min="9" max="9" width="16" customWidth="1"/>
    <x:col min="10" max="10" width="13" customWidth="1"/>
    <x:col min="11" max="11" width="16" customWidth="1"/>
    <x:col min="12" max="12" width="10" customWidth="1"/>
    <x:col min="13" max="13" width="12" customWidth="1"/>
    <x:col min="14" max="14" width="30" customWidth="1"/>
    <x:col min="15" max="15" width="14" customWidth="1"/>
    <x:col min="16" max="16" width="24" customWidth="1"/>
  </x:cols>
  <x:sheetData>
    <x:row r="1" ht="30" customHeight="1">
      <x:c r="A1" s="13" t="str">
        <x:v>Total Futball Score Tracker - 12-Week Development</x:v>
      </x:c>
      <x:c r="B1" s="13"/>
      <x:c r="C1" s="13"/>
      <x:c r="D1" s="13"/>
      <x:c r="E1" s="13"/>
      <x:c r="F1" s="13"/>
      <x:c r="G1" s="13"/>
      <x:c r="H1" s="13"/>
      <x:c r="I1" s="13"/>
      <x:c r="J1" s="13"/>
      <x:c r="K1" s="13"/>
      <x:c r="L1" s="13"/>
      <x:c r="M1" s="13"/>
      <x:c r="N1" s="13"/>
      <x:c r="O1" s="13"/>
      <x:c r="P1" s="13"/>
      <x:c r="Q1" s="2"/>
      <x:c r="R1" s="2"/>
      <x:c r="S1" s="2"/>
      <x:c r="T1" s="2"/>
      <x:c r="U1" s="2"/>
      <x:c r="V1" s="2"/>
      <x:c r="W1" s="2"/>
      <x:c r="X1" s="2"/>
      <x:c r="Y1" s="2"/>
      <x:c r="Z1" s="2"/>
    </x:row>
    <x:row r="2" ht="42" customHeight="1">
      <x:c r="A2" s="15" t="s">
        <x:v>269</x:v>
      </x:c>
      <x:c r="B2" s="15"/>
      <x:c r="C2" s="15"/>
      <x:c r="D2" s="15"/>
      <x:c r="E2" s="15"/>
      <x:c r="F2" s="15"/>
      <x:c r="G2" s="15"/>
      <x:c r="H2" s="15"/>
      <x:c r="I2" s="15"/>
      <x:c r="J2" s="15"/>
      <x:c r="K2" s="15"/>
      <x:c r="L2" s="15"/>
      <x:c r="M2" s="15"/>
      <x:c r="N2" s="15"/>
      <x:c r="O2" s="15"/>
      <x:c r="P2" s="15"/>
      <x:c r="Q2" s="2"/>
      <x:c r="R2" s="2"/>
      <x:c r="S2" s="2"/>
      <x:c r="T2" s="2"/>
      <x:c r="U2" s="2"/>
      <x:c r="V2" s="2"/>
      <x:c r="W2" s="2"/>
      <x:c r="X2" s="2"/>
      <x:c r="Y2" s="2"/>
      <x:c r="Z2" s="2"/>
    </x:row>
    <x:row r="3" ht="42" customHeight="1">
      <x:c r="A3" s="15"/>
      <x:c r="B3" s="15"/>
      <x:c r="C3" s="15"/>
      <x:c r="D3" s="15"/>
      <x:c r="E3" s="15"/>
      <x:c r="F3" s="15"/>
      <x:c r="G3" s="15"/>
      <x:c r="H3" s="15"/>
      <x:c r="I3" s="15"/>
      <x:c r="J3" s="15"/>
      <x:c r="K3" s="15"/>
      <x:c r="L3" s="15"/>
      <x:c r="M3" s="15"/>
      <x:c r="N3" s="15"/>
      <x:c r="O3" s="15"/>
      <x:c r="P3" s="15"/>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0">
      <x:c r="A5" s="1" t="s">
        <x:v>270</x:v>
      </x:c>
      <x:c r="B5" s="1" t="s">
        <x:v>271</x:v>
      </x:c>
      <x:c r="C5" s="1" t="s">
        <x:v>40</x:v>
      </x:c>
      <x:c r="D5" s="1" t="s">
        <x:v>272</x:v>
      </x:c>
      <x:c r="E5" s="1" t="s">
        <x:v>273</x:v>
      </x:c>
      <x:c r="F5" s="1" t="s">
        <x:v>274</x:v>
      </x:c>
      <x:c r="G5" s="1" t="s">
        <x:v>42</x:v>
      </x:c>
      <x:c r="H5" s="1" t="s">
        <x:v>46</x:v>
      </x:c>
      <x:c r="I5" s="1" t="s">
        <x:v>50</x:v>
      </x:c>
      <x:c r="J5" s="1" t="s">
        <x:v>275</x:v>
      </x:c>
      <x:c r="K5" s="1" t="s">
        <x:v>276</x:v>
      </x:c>
      <x:c r="L5" s="1" t="s">
        <x:v>277</x:v>
      </x:c>
      <x:c r="M5" s="1" t="s">
        <x:v>278</x:v>
      </x:c>
      <x:c r="N5" s="1" t="s">
        <x:v>79</x:v>
      </x:c>
      <x:c r="O5" s="1" t="s">
        <x:v>52</x:v>
      </x:c>
      <x:c r="P5" s="1" t="s">
        <x:v>279</x:v>
      </x:c>
      <x:c r="Q5" s="2"/>
      <x:c r="R5" s="2"/>
      <x:c r="S5" s="2"/>
      <x:c r="T5" s="2"/>
      <x:c r="U5" s="2"/>
      <x:c r="V5" s="2"/>
      <x:c r="W5" s="2"/>
      <x:c r="X5" s="2"/>
      <x:c r="Y5" s="2"/>
      <x:c r="Z5" s="2"/>
    </x:row>
    <x:row r="6">
      <x:c r="A6" s="2">
        <x:v>1</x:v>
      </x:c>
      <x:c r="B6" s="4">
        <x:v>46223</x:v>
      </x:c>
      <x:c r="C6" s="5"/>
      <x:c r="D6" s="5"/>
      <x:c r="E6" s="6"/>
      <x:c r="F6" s="6"/>
      <x:c r="G6" s="7"/>
      <x:c r="H6" s="7"/>
      <x:c r="I6" s="7"/>
      <x:c r="J6" s="5"/>
      <x:c r="K6" s="8"/>
      <x:c r="L6" s="8"/>
      <x:c r="M6" s="8"/>
      <x:c r="N6" s="8"/>
      <x:c r="O6" s="9" t="str">
        <x:f t="shared" ref="O6:O17" si="0">IF(C6="","",ROUND(100*((MIN(C6/80,1)+MIN(D6/100,1)+IF(E6="",0,MIN(2.2/E6,1))+IF(F6="",0,MIN(3.6/F6,1))+G6+H6+I6+MIN(J6/10,1))/8),0))</x:f>
      </x:c>
      <x:c r="P6" s="3" t="str">
        <x:f t="shared" ref="P6:P17" si="1">IF(O6="","",IF(J6&lt;8,"Scan before receiving",IF(G6&lt;0.7,"Finishing on frame",IF(H6&lt;0.6,"1v1 defending",IF(I6&lt;0.6,"1v1 attacking",IF(D6&lt;100,"Weak-foot passing","Keep building"))))))</x:f>
      </x:c>
      <x:c r="Q6" s="2"/>
      <x:c r="R6" s="2"/>
      <x:c r="S6" s="2"/>
      <x:c r="T6" s="2"/>
      <x:c r="U6" s="2"/>
      <x:c r="V6" s="2"/>
      <x:c r="W6" s="2"/>
      <x:c r="X6" s="2"/>
      <x:c r="Y6" s="2"/>
      <x:c r="Z6" s="2"/>
    </x:row>
    <x:row r="7">
      <x:c r="A7" s="2">
        <x:v>2</x:v>
      </x:c>
      <x:c r="B7" s="4">
        <x:v>46230</x:v>
      </x:c>
      <x:c r="C7" s="5"/>
      <x:c r="D7" s="5"/>
      <x:c r="E7" s="6"/>
      <x:c r="F7" s="6"/>
      <x:c r="G7" s="7"/>
      <x:c r="H7" s="7"/>
      <x:c r="I7" s="7"/>
      <x:c r="J7" s="5"/>
      <x:c r="K7" s="8"/>
      <x:c r="L7" s="8"/>
      <x:c r="M7" s="8"/>
      <x:c r="N7" s="8"/>
      <x:c r="O7" s="9" t="str">
        <x:f t="shared" si="0"/>
      </x:c>
      <x:c r="P7" s="3" t="str">
        <x:f t="shared" si="1"/>
      </x:c>
      <x:c r="Q7" s="2"/>
      <x:c r="R7" s="2"/>
      <x:c r="S7" s="2"/>
      <x:c r="T7" s="2"/>
      <x:c r="U7" s="2"/>
      <x:c r="V7" s="2"/>
      <x:c r="W7" s="2"/>
      <x:c r="X7" s="2"/>
      <x:c r="Y7" s="2"/>
      <x:c r="Z7" s="2"/>
    </x:row>
    <x:row r="8">
      <x:c r="A8" s="2">
        <x:v>3</x:v>
      </x:c>
      <x:c r="B8" s="4">
        <x:v>46237</x:v>
      </x:c>
      <x:c r="C8" s="5"/>
      <x:c r="D8" s="5"/>
      <x:c r="E8" s="6"/>
      <x:c r="F8" s="6"/>
      <x:c r="G8" s="7"/>
      <x:c r="H8" s="7"/>
      <x:c r="I8" s="7"/>
      <x:c r="J8" s="5"/>
      <x:c r="K8" s="8"/>
      <x:c r="L8" s="8"/>
      <x:c r="M8" s="8"/>
      <x:c r="N8" s="8"/>
      <x:c r="O8" s="9" t="str">
        <x:f t="shared" si="0"/>
      </x:c>
      <x:c r="P8" s="3" t="str">
        <x:f t="shared" si="1"/>
      </x:c>
      <x:c r="Q8" s="2"/>
      <x:c r="R8" s="2"/>
      <x:c r="S8" s="2"/>
      <x:c r="T8" s="2"/>
      <x:c r="U8" s="2"/>
      <x:c r="V8" s="2"/>
      <x:c r="W8" s="2"/>
      <x:c r="X8" s="2"/>
      <x:c r="Y8" s="2"/>
      <x:c r="Z8" s="2"/>
    </x:row>
    <x:row r="9">
      <x:c r="A9" s="2">
        <x:v>4</x:v>
      </x:c>
      <x:c r="B9" s="4">
        <x:v>46244</x:v>
      </x:c>
      <x:c r="C9" s="5"/>
      <x:c r="D9" s="5"/>
      <x:c r="E9" s="6"/>
      <x:c r="F9" s="6"/>
      <x:c r="G9" s="7"/>
      <x:c r="H9" s="7"/>
      <x:c r="I9" s="7"/>
      <x:c r="J9" s="5"/>
      <x:c r="K9" s="8"/>
      <x:c r="L9" s="8"/>
      <x:c r="M9" s="8"/>
      <x:c r="N9" s="8"/>
      <x:c r="O9" s="9" t="str">
        <x:f t="shared" si="0"/>
      </x:c>
      <x:c r="P9" s="3" t="str">
        <x:f t="shared" si="1"/>
      </x:c>
      <x:c r="Q9" s="2"/>
      <x:c r="R9" s="2"/>
      <x:c r="S9" s="2"/>
      <x:c r="T9" s="2"/>
      <x:c r="U9" s="2"/>
      <x:c r="V9" s="2"/>
      <x:c r="W9" s="2"/>
      <x:c r="X9" s="2"/>
      <x:c r="Y9" s="2"/>
      <x:c r="Z9" s="2"/>
    </x:row>
    <x:row r="10">
      <x:c r="A10" s="2">
        <x:v>5</x:v>
      </x:c>
      <x:c r="B10" s="4">
        <x:v>46251</x:v>
      </x:c>
      <x:c r="C10" s="5"/>
      <x:c r="D10" s="5"/>
      <x:c r="E10" s="6"/>
      <x:c r="F10" s="6"/>
      <x:c r="G10" s="7"/>
      <x:c r="H10" s="7"/>
      <x:c r="I10" s="7"/>
      <x:c r="J10" s="5"/>
      <x:c r="K10" s="8"/>
      <x:c r="L10" s="8"/>
      <x:c r="M10" s="8"/>
      <x:c r="N10" s="8"/>
      <x:c r="O10" s="9" t="str">
        <x:f t="shared" si="0"/>
      </x:c>
      <x:c r="P10" s="3" t="str">
        <x:f t="shared" si="1"/>
      </x:c>
      <x:c r="Q10" s="2"/>
      <x:c r="R10" s="2"/>
      <x:c r="S10" s="2"/>
      <x:c r="T10" s="2"/>
      <x:c r="U10" s="2"/>
      <x:c r="V10" s="2"/>
      <x:c r="W10" s="2"/>
      <x:c r="X10" s="2"/>
      <x:c r="Y10" s="2"/>
      <x:c r="Z10" s="2"/>
    </x:row>
    <x:row r="11">
      <x:c r="A11" s="2">
        <x:v>6</x:v>
      </x:c>
      <x:c r="B11" s="4">
        <x:v>46258</x:v>
      </x:c>
      <x:c r="C11" s="5"/>
      <x:c r="D11" s="5"/>
      <x:c r="E11" s="6"/>
      <x:c r="F11" s="6"/>
      <x:c r="G11" s="7"/>
      <x:c r="H11" s="7"/>
      <x:c r="I11" s="7"/>
      <x:c r="J11" s="5"/>
      <x:c r="K11" s="8"/>
      <x:c r="L11" s="8"/>
      <x:c r="M11" s="8"/>
      <x:c r="N11" s="8"/>
      <x:c r="O11" s="9" t="str">
        <x:f t="shared" si="0"/>
      </x:c>
      <x:c r="P11" s="3" t="str">
        <x:f t="shared" si="1"/>
      </x:c>
      <x:c r="Q11" s="2"/>
      <x:c r="R11" s="2"/>
      <x:c r="S11" s="2"/>
      <x:c r="T11" s="2"/>
      <x:c r="U11" s="2"/>
      <x:c r="V11" s="2"/>
      <x:c r="W11" s="2"/>
      <x:c r="X11" s="2"/>
      <x:c r="Y11" s="2"/>
      <x:c r="Z11" s="2"/>
    </x:row>
    <x:row r="12">
      <x:c r="A12" s="2">
        <x:v>7</x:v>
      </x:c>
      <x:c r="B12" s="4">
        <x:v>46265</x:v>
      </x:c>
      <x:c r="C12" s="5"/>
      <x:c r="D12" s="5"/>
      <x:c r="E12" s="6"/>
      <x:c r="F12" s="6"/>
      <x:c r="G12" s="7"/>
      <x:c r="H12" s="7"/>
      <x:c r="I12" s="7"/>
      <x:c r="J12" s="5"/>
      <x:c r="K12" s="8"/>
      <x:c r="L12" s="8"/>
      <x:c r="M12" s="8"/>
      <x:c r="N12" s="8"/>
      <x:c r="O12" s="9" t="str">
        <x:f t="shared" si="0"/>
      </x:c>
      <x:c r="P12" s="3" t="str">
        <x:f t="shared" si="1"/>
      </x:c>
      <x:c r="Q12" s="2"/>
      <x:c r="R12" s="2"/>
      <x:c r="S12" s="2"/>
      <x:c r="T12" s="2"/>
      <x:c r="U12" s="2"/>
      <x:c r="V12" s="2"/>
      <x:c r="W12" s="2"/>
      <x:c r="X12" s="2"/>
      <x:c r="Y12" s="2"/>
      <x:c r="Z12" s="2"/>
    </x:row>
    <x:row r="13">
      <x:c r="A13" s="2">
        <x:v>8</x:v>
      </x:c>
      <x:c r="B13" s="4">
        <x:v>46272</x:v>
      </x:c>
      <x:c r="C13" s="5"/>
      <x:c r="D13" s="5"/>
      <x:c r="E13" s="6"/>
      <x:c r="F13" s="6"/>
      <x:c r="G13" s="7"/>
      <x:c r="H13" s="7"/>
      <x:c r="I13" s="7"/>
      <x:c r="J13" s="5"/>
      <x:c r="K13" s="8"/>
      <x:c r="L13" s="8"/>
      <x:c r="M13" s="8"/>
      <x:c r="N13" s="8"/>
      <x:c r="O13" s="9" t="str">
        <x:f t="shared" si="0"/>
      </x:c>
      <x:c r="P13" s="3" t="str">
        <x:f t="shared" si="1"/>
      </x:c>
      <x:c r="Q13" s="2"/>
      <x:c r="R13" s="2"/>
      <x:c r="S13" s="2"/>
      <x:c r="T13" s="2"/>
      <x:c r="U13" s="2"/>
      <x:c r="V13" s="2"/>
      <x:c r="W13" s="2"/>
      <x:c r="X13" s="2"/>
      <x:c r="Y13" s="2"/>
      <x:c r="Z13" s="2"/>
    </x:row>
    <x:row r="14">
      <x:c r="A14" s="2">
        <x:v>9</x:v>
      </x:c>
      <x:c r="B14" s="4">
        <x:v>46279</x:v>
      </x:c>
      <x:c r="C14" s="5"/>
      <x:c r="D14" s="5"/>
      <x:c r="E14" s="6"/>
      <x:c r="F14" s="6"/>
      <x:c r="G14" s="7"/>
      <x:c r="H14" s="7"/>
      <x:c r="I14" s="7"/>
      <x:c r="J14" s="5"/>
      <x:c r="K14" s="8"/>
      <x:c r="L14" s="8"/>
      <x:c r="M14" s="8"/>
      <x:c r="N14" s="8"/>
      <x:c r="O14" s="9" t="str">
        <x:f t="shared" si="0"/>
      </x:c>
      <x:c r="P14" s="3" t="str">
        <x:f t="shared" si="1"/>
      </x:c>
      <x:c r="Q14" s="2"/>
      <x:c r="R14" s="2"/>
      <x:c r="S14" s="2"/>
      <x:c r="T14" s="2"/>
      <x:c r="U14" s="2"/>
      <x:c r="V14" s="2"/>
      <x:c r="W14" s="2"/>
      <x:c r="X14" s="2"/>
      <x:c r="Y14" s="2"/>
      <x:c r="Z14" s="2"/>
    </x:row>
    <x:row r="15">
      <x:c r="A15" s="2">
        <x:v>10</x:v>
      </x:c>
      <x:c r="B15" s="4">
        <x:v>46286</x:v>
      </x:c>
      <x:c r="C15" s="5"/>
      <x:c r="D15" s="5"/>
      <x:c r="E15" s="6"/>
      <x:c r="F15" s="6"/>
      <x:c r="G15" s="7"/>
      <x:c r="H15" s="7"/>
      <x:c r="I15" s="7"/>
      <x:c r="J15" s="5"/>
      <x:c r="K15" s="8"/>
      <x:c r="L15" s="8"/>
      <x:c r="M15" s="8"/>
      <x:c r="N15" s="8"/>
      <x:c r="O15" s="9" t="str">
        <x:f t="shared" si="0"/>
      </x:c>
      <x:c r="P15" s="3" t="str">
        <x:f t="shared" si="1"/>
      </x:c>
      <x:c r="Q15" s="2"/>
      <x:c r="R15" s="2"/>
      <x:c r="S15" s="2"/>
      <x:c r="T15" s="2"/>
      <x:c r="U15" s="2"/>
      <x:c r="V15" s="2"/>
      <x:c r="W15" s="2"/>
      <x:c r="X15" s="2"/>
      <x:c r="Y15" s="2"/>
      <x:c r="Z15" s="2"/>
    </x:row>
    <x:row r="16">
      <x:c r="A16" s="2">
        <x:v>11</x:v>
      </x:c>
      <x:c r="B16" s="4">
        <x:v>46293</x:v>
      </x:c>
      <x:c r="C16" s="5"/>
      <x:c r="D16" s="5"/>
      <x:c r="E16" s="6"/>
      <x:c r="F16" s="6"/>
      <x:c r="G16" s="7"/>
      <x:c r="H16" s="7"/>
      <x:c r="I16" s="7"/>
      <x:c r="J16" s="5"/>
      <x:c r="K16" s="8"/>
      <x:c r="L16" s="8"/>
      <x:c r="M16" s="8"/>
      <x:c r="N16" s="8"/>
      <x:c r="O16" s="9" t="str">
        <x:f t="shared" si="0"/>
      </x:c>
      <x:c r="P16" s="3" t="str">
        <x:f t="shared" si="1"/>
      </x:c>
      <x:c r="Q16" s="2"/>
      <x:c r="R16" s="2"/>
      <x:c r="S16" s="2"/>
      <x:c r="T16" s="2"/>
      <x:c r="U16" s="2"/>
      <x:c r="V16" s="2"/>
      <x:c r="W16" s="2"/>
      <x:c r="X16" s="2"/>
      <x:c r="Y16" s="2"/>
      <x:c r="Z16" s="2"/>
    </x:row>
    <x:row r="17">
      <x:c r="A17" s="2">
        <x:v>12</x:v>
      </x:c>
      <x:c r="B17" s="4">
        <x:v>46300</x:v>
      </x:c>
      <x:c r="C17" s="5"/>
      <x:c r="D17" s="5"/>
      <x:c r="E17" s="6"/>
      <x:c r="F17" s="6"/>
      <x:c r="G17" s="7"/>
      <x:c r="H17" s="7"/>
      <x:c r="I17" s="7"/>
      <x:c r="J17" s="5"/>
      <x:c r="K17" s="8"/>
      <x:c r="L17" s="8"/>
      <x:c r="M17" s="8"/>
      <x:c r="N17" s="8"/>
      <x:c r="O17" s="9" t="str">
        <x:f t="shared" si="0"/>
      </x:c>
      <x:c r="P17" s="3" t="str">
        <x:f t="shared" si="1"/>
      </x:c>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1:P1"/>
    <x:mergeCell ref="A2:P3"/>
  </x:mergeCells>
  <x:conditionalFormatting sqref="G6:I17">
    <x:cfRule type="colorScale" priority="2">
      <x:colorScale>
        <x:cfvo type="min"/>
        <x:cfvo type="percentile" val="50"/>
        <x:cfvo type="max"/>
        <x:color rgb="FFFEE2E2"/>
        <x:color rgb="FFFEF3C7"/>
        <x:color rgb="FFDCFCE7"/>
      </x:colorScale>
    </x:cfRule>
  </x:conditionalFormatting>
  <x:conditionalFormatting sqref="J6:J17">
    <x:cfRule type="cellIs" dxfId="4" priority="3" operator="lessThan">
      <x:formula>8</x:formula>
    </x:cfRule>
  </x:conditionalFormatting>
  <x:conditionalFormatting sqref="O6:O17">
    <x:cfRule type="dataBar" priority="1">
      <x:dataBar>
        <x:cfvo type="min"/>
        <x:cfvo type="max"/>
        <x:color rgb="FF16A34A"/>
      </x:dataBar>
    </x:cfRule>
    <x:cfRule type="dataBar" priority="4">
      <x:dataBar>
        <x:cfvo type="min"/>
        <x:cfvo type="max"/>
        <x:color rgb="FF16A34A"/>
      </x:dataBar>
      <x:extLst>
        <x:ext xmlns:x14="http://schemas.microsoft.com/office/spreadsheetml/2009/9/main" uri="{B025F937-C7B1-47D3-B67F-A62EFF666E3E}">
          <x14:id>{CD447A3B-F607-7200-6128-A7008031C38D}</x14:id>
        </x:ext>
      </x:extLst>
    </x:cfRule>
  </x:conditionalFormatting>
  <x:pageMargins left="0.7" right="0.7" top="0.75" bottom="0.75" header="0.3" footer="0.3"/>
  <x:tableParts count="1">
    <x:tablePart xmlns:r="http://schemas.openxmlformats.org/officeDocument/2006/relationships" r:id="R85c6671665f64da8"/>
  </x:tableParts>
  <x:extLst>
    <x:ext xmlns:x14="http://schemas.microsoft.com/office/spreadsheetml/2009/9/main" xmlns:xm="http://schemas.microsoft.com/office/excel/2006/main" uri="{78C0D931-6437-407d-A8EE-F0AAD7539E65}">
      <x14:conditionalFormattings>
        <x14:conditionalFormatting>
          <x14:cfRule type="dataBar" priority="4" id="{CD447A3B-F607-7200-6128-A7008031C38D}">
            <x14:dataBar>
              <x14:cfvo type="min"/>
              <x14:cfvo type="max"/>
              <x14:fillColor rgb="FF16A34A"/>
              <x14:negativeFillColor auto="1"/>
              <x14:axisColor auto="1"/>
            </x14:dataBar>
          </x14:cfRule>
          <xm:sqref>O6:O17</xm:sqref>
        </x14:conditionalFormatting>
      </x14:conditionalFormattings>
    </x:ext>
  </x:extLst>
</x:worksheet>
</file>

<file path=xl/worksheets/sheet8.xml><?xml version="1.0" encoding="utf-8"?>
<x:worksheet xmlns:x="http://schemas.openxmlformats.org/spreadsheetml/2006/main">
  <x:sheetFormatPr defaultRowHeight="14.25"/>
  <x:cols>
    <x:col min="1" max="2" width="12" customWidth="1"/>
    <x:col min="3" max="3" width="20" customWidth="1"/>
    <x:col min="4" max="4" width="12" customWidth="1"/>
    <x:col min="5" max="5" width="13" customWidth="1"/>
    <x:col min="6" max="6" width="10" customWidth="1"/>
    <x:col min="7" max="7" width="13" customWidth="1"/>
    <x:col min="8" max="8" width="12" customWidth="1"/>
    <x:col min="9" max="9" width="14" customWidth="1"/>
    <x:col min="10" max="11" width="28" customWidth="1"/>
    <x:col min="12" max="12" width="40" customWidth="1"/>
  </x:cols>
  <x:sheetData>
    <x:row r="1" ht="30" customHeight="1">
      <x:c r="A1" s="13" t="s">
        <x:v>280</x:v>
      </x:c>
      <x:c r="B1" s="13"/>
      <x:c r="C1" s="13"/>
      <x:c r="D1" s="13"/>
      <x:c r="E1" s="13"/>
      <x:c r="F1" s="13"/>
      <x:c r="G1" s="13"/>
      <x:c r="H1" s="13"/>
      <x:c r="I1" s="13"/>
      <x:c r="J1" s="13"/>
      <x:c r="K1" s="13"/>
      <x:c r="L1" s="13"/>
      <x:c r="M1" s="2"/>
      <x:c r="N1" s="2"/>
      <x:c r="O1" s="2"/>
      <x:c r="P1" s="2"/>
      <x:c r="Q1" s="2"/>
      <x:c r="R1" s="2"/>
      <x:c r="S1" s="2"/>
      <x:c r="T1" s="2"/>
      <x:c r="U1" s="2"/>
      <x:c r="V1" s="2"/>
      <x:c r="W1" s="2"/>
      <x:c r="X1" s="2"/>
      <x:c r="Y1" s="2"/>
      <x:c r="Z1" s="2"/>
    </x:row>
    <x:row r="2" ht="42" customHeight="1">
      <x:c r="A2" s="15" t="s">
        <x:v>281</x:v>
      </x:c>
      <x:c r="B2" s="15"/>
      <x:c r="C2" s="15"/>
      <x:c r="D2" s="15"/>
      <x:c r="E2" s="15"/>
      <x:c r="F2" s="15"/>
      <x:c r="G2" s="15"/>
      <x:c r="H2" s="15"/>
      <x:c r="I2" s="15"/>
      <x:c r="J2" s="15"/>
      <x:c r="K2" s="15"/>
      <x:c r="L2" s="15"/>
      <x:c r="M2" s="2"/>
      <x:c r="N2" s="2"/>
      <x:c r="O2" s="2"/>
      <x:c r="P2" s="2"/>
      <x:c r="Q2" s="2"/>
      <x:c r="R2" s="2"/>
      <x:c r="S2" s="2"/>
      <x:c r="T2" s="2"/>
      <x:c r="U2" s="2"/>
      <x:c r="V2" s="2"/>
      <x:c r="W2" s="2"/>
      <x:c r="X2" s="2"/>
      <x:c r="Y2" s="2"/>
      <x:c r="Z2" s="2"/>
    </x:row>
    <x:row r="3" ht="42" customHeight="1">
      <x:c r="A3" s="15"/>
      <x:c r="B3" s="15"/>
      <x:c r="C3" s="15"/>
      <x:c r="D3" s="15"/>
      <x:c r="E3" s="15"/>
      <x:c r="F3" s="15"/>
      <x:c r="G3" s="15"/>
      <x:c r="H3" s="15"/>
      <x:c r="I3" s="15"/>
      <x:c r="J3" s="15"/>
      <x:c r="K3" s="15"/>
      <x:c r="L3" s="15"/>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0">
      <x:c r="A5" s="1" t="s">
        <x:v>282</x:v>
      </x:c>
      <x:c r="B5" s="1" t="s">
        <x:v>70</x:v>
      </x:c>
      <x:c r="C5" s="1" t="s">
        <x:v>71</x:v>
      </x:c>
      <x:c r="D5" s="1" t="s">
        <x:v>15</x:v>
      </x:c>
      <x:c r="E5" s="1" t="s">
        <x:v>72</x:v>
      </x:c>
      <x:c r="F5" s="1" t="s">
        <x:v>283</x:v>
      </x:c>
      <x:c r="G5" s="1" t="s">
        <x:v>74</x:v>
      </x:c>
      <x:c r="H5" s="1" t="s">
        <x:v>284</x:v>
      </x:c>
      <x:c r="I5" s="1" t="s">
        <x:v>285</x:v>
      </x:c>
      <x:c r="J5" s="1" t="s">
        <x:v>286</x:v>
      </x:c>
      <x:c r="K5" s="1" t="s">
        <x:v>287</x:v>
      </x:c>
      <x:c r="L5" s="1" t="s">
        <x:v>288</x:v>
      </x:c>
      <x:c r="M5" s="2"/>
      <x:c r="N5" s="2"/>
      <x:c r="O5" s="2"/>
      <x:c r="P5" s="2"/>
      <x:c r="Q5" s="2"/>
      <x:c r="R5" s="2"/>
      <x:c r="S5" s="2"/>
      <x:c r="T5" s="2"/>
      <x:c r="U5" s="2"/>
      <x:c r="V5" s="2"/>
      <x:c r="W5" s="2"/>
      <x:c r="X5" s="2"/>
      <x:c r="Y5" s="2"/>
      <x:c r="Z5" s="2"/>
    </x:row>
    <x:row r="6">
      <x:c r="A6" s="4"/>
      <x:c r="B6" s="3" t="str">
        <x:f t="shared" ref="B6:B37" si="0">IF(A6="","",TEXT(A6,"dddd"))</x:f>
      </x:c>
      <x:c r="C6" s="5"/>
      <x:c r="D6" s="5" t="s">
        <x:v>289</x:v>
      </x:c>
      <x:c r="E6" s="8"/>
      <x:c r="F6" s="8"/>
      <x:c r="G6" s="9" t="str">
        <x:f t="shared" ref="G6:G37" si="1">IF(OR(E6="",F6=""),"",E6*F6)</x:f>
      </x:c>
      <x:c r="H6" s="5"/>
      <x:c r="I6" s="5"/>
      <x:c r="J6" s="5"/>
      <x:c r="K6" s="5"/>
      <x:c r="L6" s="5"/>
      <x:c r="M6" s="2"/>
      <x:c r="N6" s="2"/>
      <x:c r="O6" s="2"/>
      <x:c r="P6" s="2"/>
      <x:c r="Q6" s="2"/>
      <x:c r="R6" s="2"/>
      <x:c r="S6" s="2"/>
      <x:c r="T6" s="2"/>
      <x:c r="U6" s="2"/>
      <x:c r="V6" s="2"/>
      <x:c r="W6" s="2"/>
      <x:c r="X6" s="2"/>
      <x:c r="Y6" s="2"/>
      <x:c r="Z6" s="2"/>
    </x:row>
    <x:row r="7">
      <x:c r="A7" s="4"/>
      <x:c r="B7" s="3" t="str">
        <x:f t="shared" si="0"/>
      </x:c>
      <x:c r="C7" s="5"/>
      <x:c r="D7" s="5" t="s">
        <x:v>289</x:v>
      </x:c>
      <x:c r="E7" s="8"/>
      <x:c r="F7" s="8"/>
      <x:c r="G7" s="9" t="str">
        <x:f t="shared" si="1"/>
      </x:c>
      <x:c r="H7" s="5"/>
      <x:c r="I7" s="5"/>
      <x:c r="J7" s="5"/>
      <x:c r="K7" s="5"/>
      <x:c r="L7" s="5"/>
      <x:c r="M7" s="2"/>
      <x:c r="N7" s="2"/>
      <x:c r="O7" s="2"/>
      <x:c r="P7" s="2"/>
      <x:c r="Q7" s="2"/>
      <x:c r="R7" s="2"/>
      <x:c r="S7" s="2"/>
      <x:c r="T7" s="2"/>
      <x:c r="U7" s="2"/>
      <x:c r="V7" s="2"/>
      <x:c r="W7" s="2"/>
      <x:c r="X7" s="2"/>
      <x:c r="Y7" s="2"/>
      <x:c r="Z7" s="2"/>
    </x:row>
    <x:row r="8">
      <x:c r="A8" s="4"/>
      <x:c r="B8" s="3" t="str">
        <x:f t="shared" si="0"/>
      </x:c>
      <x:c r="C8" s="5"/>
      <x:c r="D8" s="5" t="s">
        <x:v>289</x:v>
      </x:c>
      <x:c r="E8" s="8"/>
      <x:c r="F8" s="8"/>
      <x:c r="G8" s="9" t="str">
        <x:f t="shared" si="1"/>
      </x:c>
      <x:c r="H8" s="5"/>
      <x:c r="I8" s="5"/>
      <x:c r="J8" s="5"/>
      <x:c r="K8" s="5"/>
      <x:c r="L8" s="5"/>
      <x:c r="M8" s="2"/>
      <x:c r="N8" s="2"/>
      <x:c r="O8" s="2"/>
      <x:c r="P8" s="2"/>
      <x:c r="Q8" s="2"/>
      <x:c r="R8" s="2"/>
      <x:c r="S8" s="2"/>
      <x:c r="T8" s="2"/>
      <x:c r="U8" s="2"/>
      <x:c r="V8" s="2"/>
      <x:c r="W8" s="2"/>
      <x:c r="X8" s="2"/>
      <x:c r="Y8" s="2"/>
      <x:c r="Z8" s="2"/>
    </x:row>
    <x:row r="9">
      <x:c r="A9" s="4"/>
      <x:c r="B9" s="3" t="str">
        <x:f t="shared" si="0"/>
      </x:c>
      <x:c r="C9" s="5"/>
      <x:c r="D9" s="5" t="s">
        <x:v>289</x:v>
      </x:c>
      <x:c r="E9" s="8"/>
      <x:c r="F9" s="8"/>
      <x:c r="G9" s="9" t="str">
        <x:f t="shared" si="1"/>
      </x:c>
      <x:c r="H9" s="5"/>
      <x:c r="I9" s="5"/>
      <x:c r="J9" s="5"/>
      <x:c r="K9" s="5"/>
      <x:c r="L9" s="5"/>
      <x:c r="M9" s="2"/>
      <x:c r="N9" s="2"/>
      <x:c r="O9" s="2"/>
      <x:c r="P9" s="2"/>
      <x:c r="Q9" s="2"/>
      <x:c r="R9" s="2"/>
      <x:c r="S9" s="2"/>
      <x:c r="T9" s="2"/>
      <x:c r="U9" s="2"/>
      <x:c r="V9" s="2"/>
      <x:c r="W9" s="2"/>
      <x:c r="X9" s="2"/>
      <x:c r="Y9" s="2"/>
      <x:c r="Z9" s="2"/>
    </x:row>
    <x:row r="10">
      <x:c r="A10" s="4"/>
      <x:c r="B10" s="3" t="str">
        <x:f t="shared" si="0"/>
      </x:c>
      <x:c r="C10" s="5"/>
      <x:c r="D10" s="5" t="s">
        <x:v>289</x:v>
      </x:c>
      <x:c r="E10" s="8"/>
      <x:c r="F10" s="8"/>
      <x:c r="G10" s="9" t="str">
        <x:f t="shared" si="1"/>
      </x:c>
      <x:c r="H10" s="5"/>
      <x:c r="I10" s="5"/>
      <x:c r="J10" s="5"/>
      <x:c r="K10" s="5"/>
      <x:c r="L10" s="5"/>
      <x:c r="M10" s="2"/>
      <x:c r="N10" s="2"/>
      <x:c r="O10" s="2"/>
      <x:c r="P10" s="2"/>
      <x:c r="Q10" s="2"/>
      <x:c r="R10" s="2"/>
      <x:c r="S10" s="2"/>
      <x:c r="T10" s="2"/>
      <x:c r="U10" s="2"/>
      <x:c r="V10" s="2"/>
      <x:c r="W10" s="2"/>
      <x:c r="X10" s="2"/>
      <x:c r="Y10" s="2"/>
      <x:c r="Z10" s="2"/>
    </x:row>
    <x:row r="11">
      <x:c r="A11" s="4"/>
      <x:c r="B11" s="3" t="str">
        <x:f t="shared" si="0"/>
      </x:c>
      <x:c r="C11" s="5"/>
      <x:c r="D11" s="5" t="s">
        <x:v>289</x:v>
      </x:c>
      <x:c r="E11" s="8"/>
      <x:c r="F11" s="8"/>
      <x:c r="G11" s="9" t="str">
        <x:f t="shared" si="1"/>
      </x:c>
      <x:c r="H11" s="5"/>
      <x:c r="I11" s="5"/>
      <x:c r="J11" s="5"/>
      <x:c r="K11" s="5"/>
      <x:c r="L11" s="5"/>
      <x:c r="M11" s="2"/>
      <x:c r="N11" s="2"/>
      <x:c r="O11" s="2"/>
      <x:c r="P11" s="2"/>
      <x:c r="Q11" s="2"/>
      <x:c r="R11" s="2"/>
      <x:c r="S11" s="2"/>
      <x:c r="T11" s="2"/>
      <x:c r="U11" s="2"/>
      <x:c r="V11" s="2"/>
      <x:c r="W11" s="2"/>
      <x:c r="X11" s="2"/>
      <x:c r="Y11" s="2"/>
      <x:c r="Z11" s="2"/>
    </x:row>
    <x:row r="12">
      <x:c r="A12" s="4"/>
      <x:c r="B12" s="3" t="str">
        <x:f t="shared" si="0"/>
      </x:c>
      <x:c r="C12" s="5"/>
      <x:c r="D12" s="5" t="s">
        <x:v>289</x:v>
      </x:c>
      <x:c r="E12" s="8"/>
      <x:c r="F12" s="8"/>
      <x:c r="G12" s="9" t="str">
        <x:f t="shared" si="1"/>
      </x:c>
      <x:c r="H12" s="5"/>
      <x:c r="I12" s="5"/>
      <x:c r="J12" s="5"/>
      <x:c r="K12" s="5"/>
      <x:c r="L12" s="5"/>
      <x:c r="M12" s="2"/>
      <x:c r="N12" s="2"/>
      <x:c r="O12" s="2"/>
      <x:c r="P12" s="2"/>
      <x:c r="Q12" s="2"/>
      <x:c r="R12" s="2"/>
      <x:c r="S12" s="2"/>
      <x:c r="T12" s="2"/>
      <x:c r="U12" s="2"/>
      <x:c r="V12" s="2"/>
      <x:c r="W12" s="2"/>
      <x:c r="X12" s="2"/>
      <x:c r="Y12" s="2"/>
      <x:c r="Z12" s="2"/>
    </x:row>
    <x:row r="13">
      <x:c r="A13" s="4"/>
      <x:c r="B13" s="3" t="str">
        <x:f t="shared" si="0"/>
      </x:c>
      <x:c r="C13" s="5"/>
      <x:c r="D13" s="5" t="s">
        <x:v>289</x:v>
      </x:c>
      <x:c r="E13" s="8"/>
      <x:c r="F13" s="8"/>
      <x:c r="G13" s="9" t="str">
        <x:f t="shared" si="1"/>
      </x:c>
      <x:c r="H13" s="5"/>
      <x:c r="I13" s="5"/>
      <x:c r="J13" s="5"/>
      <x:c r="K13" s="5"/>
      <x:c r="L13" s="5"/>
      <x:c r="M13" s="2"/>
      <x:c r="N13" s="2"/>
      <x:c r="O13" s="2"/>
      <x:c r="P13" s="2"/>
      <x:c r="Q13" s="2"/>
      <x:c r="R13" s="2"/>
      <x:c r="S13" s="2"/>
      <x:c r="T13" s="2"/>
      <x:c r="U13" s="2"/>
      <x:c r="V13" s="2"/>
      <x:c r="W13" s="2"/>
      <x:c r="X13" s="2"/>
      <x:c r="Y13" s="2"/>
      <x:c r="Z13" s="2"/>
    </x:row>
    <x:row r="14">
      <x:c r="A14" s="4"/>
      <x:c r="B14" s="3" t="str">
        <x:f t="shared" si="0"/>
      </x:c>
      <x:c r="C14" s="5"/>
      <x:c r="D14" s="5" t="s">
        <x:v>289</x:v>
      </x:c>
      <x:c r="E14" s="8"/>
      <x:c r="F14" s="8"/>
      <x:c r="G14" s="9" t="str">
        <x:f t="shared" si="1"/>
      </x:c>
      <x:c r="H14" s="5"/>
      <x:c r="I14" s="5"/>
      <x:c r="J14" s="5"/>
      <x:c r="K14" s="5"/>
      <x:c r="L14" s="5"/>
      <x:c r="M14" s="2"/>
      <x:c r="N14" s="2"/>
      <x:c r="O14" s="2"/>
      <x:c r="P14" s="2"/>
      <x:c r="Q14" s="2"/>
      <x:c r="R14" s="2"/>
      <x:c r="S14" s="2"/>
      <x:c r="T14" s="2"/>
      <x:c r="U14" s="2"/>
      <x:c r="V14" s="2"/>
      <x:c r="W14" s="2"/>
      <x:c r="X14" s="2"/>
      <x:c r="Y14" s="2"/>
      <x:c r="Z14" s="2"/>
    </x:row>
    <x:row r="15">
      <x:c r="A15" s="4"/>
      <x:c r="B15" s="3" t="str">
        <x:f t="shared" si="0"/>
      </x:c>
      <x:c r="C15" s="5"/>
      <x:c r="D15" s="5" t="s">
        <x:v>289</x:v>
      </x:c>
      <x:c r="E15" s="8"/>
      <x:c r="F15" s="8"/>
      <x:c r="G15" s="9" t="str">
        <x:f t="shared" si="1"/>
      </x:c>
      <x:c r="H15" s="5"/>
      <x:c r="I15" s="5"/>
      <x:c r="J15" s="5"/>
      <x:c r="K15" s="5"/>
      <x:c r="L15" s="5"/>
      <x:c r="M15" s="2"/>
      <x:c r="N15" s="2"/>
      <x:c r="O15" s="2"/>
      <x:c r="P15" s="2"/>
      <x:c r="Q15" s="2"/>
      <x:c r="R15" s="2"/>
      <x:c r="S15" s="2"/>
      <x:c r="T15" s="2"/>
      <x:c r="U15" s="2"/>
      <x:c r="V15" s="2"/>
      <x:c r="W15" s="2"/>
      <x:c r="X15" s="2"/>
      <x:c r="Y15" s="2"/>
      <x:c r="Z15" s="2"/>
    </x:row>
    <x:row r="16">
      <x:c r="A16" s="4"/>
      <x:c r="B16" s="3" t="str">
        <x:f t="shared" si="0"/>
      </x:c>
      <x:c r="C16" s="5"/>
      <x:c r="D16" s="5" t="s">
        <x:v>289</x:v>
      </x:c>
      <x:c r="E16" s="8"/>
      <x:c r="F16" s="8"/>
      <x:c r="G16" s="9" t="str">
        <x:f t="shared" si="1"/>
      </x:c>
      <x:c r="H16" s="5"/>
      <x:c r="I16" s="5"/>
      <x:c r="J16" s="5"/>
      <x:c r="K16" s="5"/>
      <x:c r="L16" s="5"/>
      <x:c r="M16" s="2"/>
      <x:c r="N16" s="2"/>
      <x:c r="O16" s="2"/>
      <x:c r="P16" s="2"/>
      <x:c r="Q16" s="2"/>
      <x:c r="R16" s="2"/>
      <x:c r="S16" s="2"/>
      <x:c r="T16" s="2"/>
      <x:c r="U16" s="2"/>
      <x:c r="V16" s="2"/>
      <x:c r="W16" s="2"/>
      <x:c r="X16" s="2"/>
      <x:c r="Y16" s="2"/>
      <x:c r="Z16" s="2"/>
    </x:row>
    <x:row r="17">
      <x:c r="A17" s="4"/>
      <x:c r="B17" s="3" t="str">
        <x:f t="shared" si="0"/>
      </x:c>
      <x:c r="C17" s="5"/>
      <x:c r="D17" s="5" t="s">
        <x:v>289</x:v>
      </x:c>
      <x:c r="E17" s="8"/>
      <x:c r="F17" s="8"/>
      <x:c r="G17" s="9" t="str">
        <x:f t="shared" si="1"/>
      </x:c>
      <x:c r="H17" s="5"/>
      <x:c r="I17" s="5"/>
      <x:c r="J17" s="5"/>
      <x:c r="K17" s="5"/>
      <x:c r="L17" s="5"/>
      <x:c r="M17" s="2"/>
      <x:c r="N17" s="2"/>
      <x:c r="O17" s="2"/>
      <x:c r="P17" s="2"/>
      <x:c r="Q17" s="2"/>
      <x:c r="R17" s="2"/>
      <x:c r="S17" s="2"/>
      <x:c r="T17" s="2"/>
      <x:c r="U17" s="2"/>
      <x:c r="V17" s="2"/>
      <x:c r="W17" s="2"/>
      <x:c r="X17" s="2"/>
      <x:c r="Y17" s="2"/>
      <x:c r="Z17" s="2"/>
    </x:row>
    <x:row r="18">
      <x:c r="A18" s="4"/>
      <x:c r="B18" s="3" t="str">
        <x:f t="shared" si="0"/>
      </x:c>
      <x:c r="C18" s="5"/>
      <x:c r="D18" s="5" t="s">
        <x:v>289</x:v>
      </x:c>
      <x:c r="E18" s="8"/>
      <x:c r="F18" s="8"/>
      <x:c r="G18" s="9" t="str">
        <x:f t="shared" si="1"/>
      </x:c>
      <x:c r="H18" s="5"/>
      <x:c r="I18" s="5"/>
      <x:c r="J18" s="5"/>
      <x:c r="K18" s="5"/>
      <x:c r="L18" s="5"/>
      <x:c r="M18" s="2"/>
      <x:c r="N18" s="2"/>
      <x:c r="O18" s="2"/>
      <x:c r="P18" s="2"/>
      <x:c r="Q18" s="2"/>
      <x:c r="R18" s="2"/>
      <x:c r="S18" s="2"/>
      <x:c r="T18" s="2"/>
      <x:c r="U18" s="2"/>
      <x:c r="V18" s="2"/>
      <x:c r="W18" s="2"/>
      <x:c r="X18" s="2"/>
      <x:c r="Y18" s="2"/>
      <x:c r="Z18" s="2"/>
    </x:row>
    <x:row r="19">
      <x:c r="A19" s="4"/>
      <x:c r="B19" s="3" t="str">
        <x:f t="shared" si="0"/>
      </x:c>
      <x:c r="C19" s="5"/>
      <x:c r="D19" s="5" t="s">
        <x:v>289</x:v>
      </x:c>
      <x:c r="E19" s="8"/>
      <x:c r="F19" s="8"/>
      <x:c r="G19" s="9" t="str">
        <x:f t="shared" si="1"/>
      </x:c>
      <x:c r="H19" s="5"/>
      <x:c r="I19" s="5"/>
      <x:c r="J19" s="5"/>
      <x:c r="K19" s="5"/>
      <x:c r="L19" s="5"/>
      <x:c r="M19" s="2"/>
      <x:c r="N19" s="2"/>
      <x:c r="O19" s="2"/>
      <x:c r="P19" s="2"/>
      <x:c r="Q19" s="2"/>
      <x:c r="R19" s="2"/>
      <x:c r="S19" s="2"/>
      <x:c r="T19" s="2"/>
      <x:c r="U19" s="2"/>
      <x:c r="V19" s="2"/>
      <x:c r="W19" s="2"/>
      <x:c r="X19" s="2"/>
      <x:c r="Y19" s="2"/>
      <x:c r="Z19" s="2"/>
    </x:row>
    <x:row r="20">
      <x:c r="A20" s="4"/>
      <x:c r="B20" s="3" t="str">
        <x:f t="shared" si="0"/>
      </x:c>
      <x:c r="C20" s="5"/>
      <x:c r="D20" s="5" t="s">
        <x:v>289</x:v>
      </x:c>
      <x:c r="E20" s="8"/>
      <x:c r="F20" s="8"/>
      <x:c r="G20" s="9" t="str">
        <x:f t="shared" si="1"/>
      </x:c>
      <x:c r="H20" s="5"/>
      <x:c r="I20" s="5"/>
      <x:c r="J20" s="5"/>
      <x:c r="K20" s="5"/>
      <x:c r="L20" s="5"/>
      <x:c r="M20" s="2"/>
      <x:c r="N20" s="2"/>
      <x:c r="O20" s="2"/>
      <x:c r="P20" s="2"/>
      <x:c r="Q20" s="2"/>
      <x:c r="R20" s="2"/>
      <x:c r="S20" s="2"/>
      <x:c r="T20" s="2"/>
      <x:c r="U20" s="2"/>
      <x:c r="V20" s="2"/>
      <x:c r="W20" s="2"/>
      <x:c r="X20" s="2"/>
      <x:c r="Y20" s="2"/>
      <x:c r="Z20" s="2"/>
    </x:row>
    <x:row r="21">
      <x:c r="A21" s="4"/>
      <x:c r="B21" s="3" t="str">
        <x:f t="shared" si="0"/>
      </x:c>
      <x:c r="C21" s="5"/>
      <x:c r="D21" s="5" t="s">
        <x:v>289</x:v>
      </x:c>
      <x:c r="E21" s="8"/>
      <x:c r="F21" s="8"/>
      <x:c r="G21" s="9" t="str">
        <x:f t="shared" si="1"/>
      </x:c>
      <x:c r="H21" s="5"/>
      <x:c r="I21" s="5"/>
      <x:c r="J21" s="5"/>
      <x:c r="K21" s="5"/>
      <x:c r="L21" s="5"/>
      <x:c r="M21" s="2"/>
      <x:c r="N21" s="2"/>
      <x:c r="O21" s="2"/>
      <x:c r="P21" s="2"/>
      <x:c r="Q21" s="2"/>
      <x:c r="R21" s="2"/>
      <x:c r="S21" s="2"/>
      <x:c r="T21" s="2"/>
      <x:c r="U21" s="2"/>
      <x:c r="V21" s="2"/>
      <x:c r="W21" s="2"/>
      <x:c r="X21" s="2"/>
      <x:c r="Y21" s="2"/>
      <x:c r="Z21" s="2"/>
    </x:row>
    <x:row r="22">
      <x:c r="A22" s="4"/>
      <x:c r="B22" s="3" t="str">
        <x:f t="shared" si="0"/>
      </x:c>
      <x:c r="C22" s="5"/>
      <x:c r="D22" s="5" t="s">
        <x:v>289</x:v>
      </x:c>
      <x:c r="E22" s="8"/>
      <x:c r="F22" s="8"/>
      <x:c r="G22" s="9" t="str">
        <x:f t="shared" si="1"/>
      </x:c>
      <x:c r="H22" s="5"/>
      <x:c r="I22" s="5"/>
      <x:c r="J22" s="5"/>
      <x:c r="K22" s="5"/>
      <x:c r="L22" s="5"/>
      <x:c r="M22" s="2"/>
      <x:c r="N22" s="2"/>
      <x:c r="O22" s="2"/>
      <x:c r="P22" s="2"/>
      <x:c r="Q22" s="2"/>
      <x:c r="R22" s="2"/>
      <x:c r="S22" s="2"/>
      <x:c r="T22" s="2"/>
      <x:c r="U22" s="2"/>
      <x:c r="V22" s="2"/>
      <x:c r="W22" s="2"/>
      <x:c r="X22" s="2"/>
      <x:c r="Y22" s="2"/>
      <x:c r="Z22" s="2"/>
    </x:row>
    <x:row r="23">
      <x:c r="A23" s="4"/>
      <x:c r="B23" s="3" t="str">
        <x:f t="shared" si="0"/>
      </x:c>
      <x:c r="C23" s="5"/>
      <x:c r="D23" s="5" t="s">
        <x:v>289</x:v>
      </x:c>
      <x:c r="E23" s="8"/>
      <x:c r="F23" s="8"/>
      <x:c r="G23" s="9" t="str">
        <x:f t="shared" si="1"/>
      </x:c>
      <x:c r="H23" s="5"/>
      <x:c r="I23" s="5"/>
      <x:c r="J23" s="5"/>
      <x:c r="K23" s="5"/>
      <x:c r="L23" s="5"/>
      <x:c r="M23" s="2"/>
      <x:c r="N23" s="2"/>
      <x:c r="O23" s="2"/>
      <x:c r="P23" s="2"/>
      <x:c r="Q23" s="2"/>
      <x:c r="R23" s="2"/>
      <x:c r="S23" s="2"/>
      <x:c r="T23" s="2"/>
      <x:c r="U23" s="2"/>
      <x:c r="V23" s="2"/>
      <x:c r="W23" s="2"/>
      <x:c r="X23" s="2"/>
      <x:c r="Y23" s="2"/>
      <x:c r="Z23" s="2"/>
    </x:row>
    <x:row r="24">
      <x:c r="A24" s="4"/>
      <x:c r="B24" s="3" t="str">
        <x:f t="shared" si="0"/>
      </x:c>
      <x:c r="C24" s="5"/>
      <x:c r="D24" s="5" t="s">
        <x:v>289</x:v>
      </x:c>
      <x:c r="E24" s="8"/>
      <x:c r="F24" s="8"/>
      <x:c r="G24" s="9" t="str">
        <x:f t="shared" si="1"/>
      </x:c>
      <x:c r="H24" s="5"/>
      <x:c r="I24" s="5"/>
      <x:c r="J24" s="5"/>
      <x:c r="K24" s="5"/>
      <x:c r="L24" s="5"/>
      <x:c r="M24" s="2"/>
      <x:c r="N24" s="2"/>
      <x:c r="O24" s="2"/>
      <x:c r="P24" s="2"/>
      <x:c r="Q24" s="2"/>
      <x:c r="R24" s="2"/>
      <x:c r="S24" s="2"/>
      <x:c r="T24" s="2"/>
      <x:c r="U24" s="2"/>
      <x:c r="V24" s="2"/>
      <x:c r="W24" s="2"/>
      <x:c r="X24" s="2"/>
      <x:c r="Y24" s="2"/>
      <x:c r="Z24" s="2"/>
    </x:row>
    <x:row r="25">
      <x:c r="A25" s="4"/>
      <x:c r="B25" s="3" t="str">
        <x:f t="shared" si="0"/>
      </x:c>
      <x:c r="C25" s="5"/>
      <x:c r="D25" s="5" t="s">
        <x:v>289</x:v>
      </x:c>
      <x:c r="E25" s="8"/>
      <x:c r="F25" s="8"/>
      <x:c r="G25" s="9" t="str">
        <x:f t="shared" si="1"/>
      </x:c>
      <x:c r="H25" s="5"/>
      <x:c r="I25" s="5"/>
      <x:c r="J25" s="5"/>
      <x:c r="K25" s="5"/>
      <x:c r="L25" s="5"/>
      <x:c r="M25" s="2"/>
      <x:c r="N25" s="2"/>
      <x:c r="O25" s="2"/>
      <x:c r="P25" s="2"/>
      <x:c r="Q25" s="2"/>
      <x:c r="R25" s="2"/>
      <x:c r="S25" s="2"/>
      <x:c r="T25" s="2"/>
      <x:c r="U25" s="2"/>
      <x:c r="V25" s="2"/>
      <x:c r="W25" s="2"/>
      <x:c r="X25" s="2"/>
      <x:c r="Y25" s="2"/>
      <x:c r="Z25" s="2"/>
    </x:row>
    <x:row r="26">
      <x:c r="A26" s="4"/>
      <x:c r="B26" s="3" t="str">
        <x:f t="shared" si="0"/>
      </x:c>
      <x:c r="C26" s="5"/>
      <x:c r="D26" s="5" t="s">
        <x:v>289</x:v>
      </x:c>
      <x:c r="E26" s="8"/>
      <x:c r="F26" s="8"/>
      <x:c r="G26" s="9" t="str">
        <x:f t="shared" si="1"/>
      </x:c>
      <x:c r="H26" s="5"/>
      <x:c r="I26" s="5"/>
      <x:c r="J26" s="5"/>
      <x:c r="K26" s="5"/>
      <x:c r="L26" s="5"/>
      <x:c r="M26" s="2"/>
      <x:c r="N26" s="2"/>
      <x:c r="O26" s="2"/>
      <x:c r="P26" s="2"/>
      <x:c r="Q26" s="2"/>
      <x:c r="R26" s="2"/>
      <x:c r="S26" s="2"/>
      <x:c r="T26" s="2"/>
      <x:c r="U26" s="2"/>
      <x:c r="V26" s="2"/>
      <x:c r="W26" s="2"/>
      <x:c r="X26" s="2"/>
      <x:c r="Y26" s="2"/>
      <x:c r="Z26" s="2"/>
    </x:row>
    <x:row r="27">
      <x:c r="A27" s="4"/>
      <x:c r="B27" s="3" t="str">
        <x:f t="shared" si="0"/>
      </x:c>
      <x:c r="C27" s="5"/>
      <x:c r="D27" s="5" t="s">
        <x:v>289</x:v>
      </x:c>
      <x:c r="E27" s="8"/>
      <x:c r="F27" s="8"/>
      <x:c r="G27" s="9" t="str">
        <x:f t="shared" si="1"/>
      </x:c>
      <x:c r="H27" s="5"/>
      <x:c r="I27" s="5"/>
      <x:c r="J27" s="5"/>
      <x:c r="K27" s="5"/>
      <x:c r="L27" s="5"/>
      <x:c r="M27" s="2"/>
      <x:c r="N27" s="2"/>
      <x:c r="O27" s="2"/>
      <x:c r="P27" s="2"/>
      <x:c r="Q27" s="2"/>
      <x:c r="R27" s="2"/>
      <x:c r="S27" s="2"/>
      <x:c r="T27" s="2"/>
      <x:c r="U27" s="2"/>
      <x:c r="V27" s="2"/>
      <x:c r="W27" s="2"/>
      <x:c r="X27" s="2"/>
      <x:c r="Y27" s="2"/>
      <x:c r="Z27" s="2"/>
    </x:row>
    <x:row r="28">
      <x:c r="A28" s="4"/>
      <x:c r="B28" s="3" t="str">
        <x:f t="shared" si="0"/>
      </x:c>
      <x:c r="C28" s="5"/>
      <x:c r="D28" s="5" t="s">
        <x:v>289</x:v>
      </x:c>
      <x:c r="E28" s="8"/>
      <x:c r="F28" s="8"/>
      <x:c r="G28" s="9" t="str">
        <x:f t="shared" si="1"/>
      </x:c>
      <x:c r="H28" s="5"/>
      <x:c r="I28" s="5"/>
      <x:c r="J28" s="5"/>
      <x:c r="K28" s="5"/>
      <x:c r="L28" s="5"/>
      <x:c r="M28" s="2"/>
      <x:c r="N28" s="2"/>
      <x:c r="O28" s="2"/>
      <x:c r="P28" s="2"/>
      <x:c r="Q28" s="2"/>
      <x:c r="R28" s="2"/>
      <x:c r="S28" s="2"/>
      <x:c r="T28" s="2"/>
      <x:c r="U28" s="2"/>
      <x:c r="V28" s="2"/>
      <x:c r="W28" s="2"/>
      <x:c r="X28" s="2"/>
      <x:c r="Y28" s="2"/>
      <x:c r="Z28" s="2"/>
    </x:row>
    <x:row r="29">
      <x:c r="A29" s="4"/>
      <x:c r="B29" s="3" t="str">
        <x:f t="shared" si="0"/>
      </x:c>
      <x:c r="C29" s="5"/>
      <x:c r="D29" s="5" t="s">
        <x:v>289</x:v>
      </x:c>
      <x:c r="E29" s="8"/>
      <x:c r="F29" s="8"/>
      <x:c r="G29" s="9" t="str">
        <x:f t="shared" si="1"/>
      </x:c>
      <x:c r="H29" s="5"/>
      <x:c r="I29" s="5"/>
      <x:c r="J29" s="5"/>
      <x:c r="K29" s="5"/>
      <x:c r="L29" s="5"/>
      <x:c r="M29" s="2"/>
      <x:c r="N29" s="2"/>
      <x:c r="O29" s="2"/>
      <x:c r="P29" s="2"/>
      <x:c r="Q29" s="2"/>
      <x:c r="R29" s="2"/>
      <x:c r="S29" s="2"/>
      <x:c r="T29" s="2"/>
      <x:c r="U29" s="2"/>
      <x:c r="V29" s="2"/>
      <x:c r="W29" s="2"/>
      <x:c r="X29" s="2"/>
      <x:c r="Y29" s="2"/>
      <x:c r="Z29" s="2"/>
    </x:row>
    <x:row r="30">
      <x:c r="A30" s="4"/>
      <x:c r="B30" s="3" t="str">
        <x:f t="shared" si="0"/>
      </x:c>
      <x:c r="C30" s="5"/>
      <x:c r="D30" s="5" t="s">
        <x:v>289</x:v>
      </x:c>
      <x:c r="E30" s="8"/>
      <x:c r="F30" s="8"/>
      <x:c r="G30" s="9" t="str">
        <x:f t="shared" si="1"/>
      </x:c>
      <x:c r="H30" s="5"/>
      <x:c r="I30" s="5"/>
      <x:c r="J30" s="5"/>
      <x:c r="K30" s="5"/>
      <x:c r="L30" s="5"/>
      <x:c r="M30" s="2"/>
      <x:c r="N30" s="2"/>
      <x:c r="O30" s="2"/>
      <x:c r="P30" s="2"/>
      <x:c r="Q30" s="2"/>
      <x:c r="R30" s="2"/>
      <x:c r="S30" s="2"/>
      <x:c r="T30" s="2"/>
      <x:c r="U30" s="2"/>
      <x:c r="V30" s="2"/>
      <x:c r="W30" s="2"/>
      <x:c r="X30" s="2"/>
      <x:c r="Y30" s="2"/>
      <x:c r="Z30" s="2"/>
    </x:row>
    <x:row r="31">
      <x:c r="A31" s="4"/>
      <x:c r="B31" s="3" t="str">
        <x:f t="shared" si="0"/>
      </x:c>
      <x:c r="C31" s="5"/>
      <x:c r="D31" s="5" t="s">
        <x:v>289</x:v>
      </x:c>
      <x:c r="E31" s="8"/>
      <x:c r="F31" s="8"/>
      <x:c r="G31" s="9" t="str">
        <x:f t="shared" si="1"/>
      </x:c>
      <x:c r="H31" s="5"/>
      <x:c r="I31" s="5"/>
      <x:c r="J31" s="5"/>
      <x:c r="K31" s="5"/>
      <x:c r="L31" s="5"/>
      <x:c r="M31" s="2"/>
      <x:c r="N31" s="2"/>
      <x:c r="O31" s="2"/>
      <x:c r="P31" s="2"/>
      <x:c r="Q31" s="2"/>
      <x:c r="R31" s="2"/>
      <x:c r="S31" s="2"/>
      <x:c r="T31" s="2"/>
      <x:c r="U31" s="2"/>
      <x:c r="V31" s="2"/>
      <x:c r="W31" s="2"/>
      <x:c r="X31" s="2"/>
      <x:c r="Y31" s="2"/>
      <x:c r="Z31" s="2"/>
    </x:row>
    <x:row r="32">
      <x:c r="A32" s="4"/>
      <x:c r="B32" s="3" t="str">
        <x:f t="shared" si="0"/>
      </x:c>
      <x:c r="C32" s="5"/>
      <x:c r="D32" s="5" t="s">
        <x:v>289</x:v>
      </x:c>
      <x:c r="E32" s="8"/>
      <x:c r="F32" s="8"/>
      <x:c r="G32" s="9" t="str">
        <x:f t="shared" si="1"/>
      </x:c>
      <x:c r="H32" s="5"/>
      <x:c r="I32" s="5"/>
      <x:c r="J32" s="5"/>
      <x:c r="K32" s="5"/>
      <x:c r="L32" s="5"/>
      <x:c r="M32" s="2"/>
      <x:c r="N32" s="2"/>
      <x:c r="O32" s="2"/>
      <x:c r="P32" s="2"/>
      <x:c r="Q32" s="2"/>
      <x:c r="R32" s="2"/>
      <x:c r="S32" s="2"/>
      <x:c r="T32" s="2"/>
      <x:c r="U32" s="2"/>
      <x:c r="V32" s="2"/>
      <x:c r="W32" s="2"/>
      <x:c r="X32" s="2"/>
      <x:c r="Y32" s="2"/>
      <x:c r="Z32" s="2"/>
    </x:row>
    <x:row r="33">
      <x:c r="A33" s="4"/>
      <x:c r="B33" s="3" t="str">
        <x:f t="shared" si="0"/>
      </x:c>
      <x:c r="C33" s="5"/>
      <x:c r="D33" s="5" t="s">
        <x:v>289</x:v>
      </x:c>
      <x:c r="E33" s="8"/>
      <x:c r="F33" s="8"/>
      <x:c r="G33" s="9" t="str">
        <x:f t="shared" si="1"/>
      </x:c>
      <x:c r="H33" s="5"/>
      <x:c r="I33" s="5"/>
      <x:c r="J33" s="5"/>
      <x:c r="K33" s="5"/>
      <x:c r="L33" s="5"/>
      <x:c r="M33" s="2"/>
      <x:c r="N33" s="2"/>
      <x:c r="O33" s="2"/>
      <x:c r="P33" s="2"/>
      <x:c r="Q33" s="2"/>
      <x:c r="R33" s="2"/>
      <x:c r="S33" s="2"/>
      <x:c r="T33" s="2"/>
      <x:c r="U33" s="2"/>
      <x:c r="V33" s="2"/>
      <x:c r="W33" s="2"/>
      <x:c r="X33" s="2"/>
      <x:c r="Y33" s="2"/>
      <x:c r="Z33" s="2"/>
    </x:row>
    <x:row r="34">
      <x:c r="A34" s="4"/>
      <x:c r="B34" s="3" t="str">
        <x:f t="shared" si="0"/>
      </x:c>
      <x:c r="C34" s="5"/>
      <x:c r="D34" s="5" t="s">
        <x:v>289</x:v>
      </x:c>
      <x:c r="E34" s="8"/>
      <x:c r="F34" s="8"/>
      <x:c r="G34" s="9" t="str">
        <x:f t="shared" si="1"/>
      </x:c>
      <x:c r="H34" s="5"/>
      <x:c r="I34" s="5"/>
      <x:c r="J34" s="5"/>
      <x:c r="K34" s="5"/>
      <x:c r="L34" s="5"/>
      <x:c r="M34" s="2"/>
      <x:c r="N34" s="2"/>
      <x:c r="O34" s="2"/>
      <x:c r="P34" s="2"/>
      <x:c r="Q34" s="2"/>
      <x:c r="R34" s="2"/>
      <x:c r="S34" s="2"/>
      <x:c r="T34" s="2"/>
      <x:c r="U34" s="2"/>
      <x:c r="V34" s="2"/>
      <x:c r="W34" s="2"/>
      <x:c r="X34" s="2"/>
      <x:c r="Y34" s="2"/>
      <x:c r="Z34" s="2"/>
    </x:row>
    <x:row r="35">
      <x:c r="A35" s="4"/>
      <x:c r="B35" s="3" t="str">
        <x:f t="shared" si="0"/>
      </x:c>
      <x:c r="C35" s="5"/>
      <x:c r="D35" s="5" t="s">
        <x:v>289</x:v>
      </x:c>
      <x:c r="E35" s="8"/>
      <x:c r="F35" s="8"/>
      <x:c r="G35" s="9" t="str">
        <x:f t="shared" si="1"/>
      </x:c>
      <x:c r="H35" s="5"/>
      <x:c r="I35" s="5"/>
      <x:c r="J35" s="5"/>
      <x:c r="K35" s="5"/>
      <x:c r="L35" s="5"/>
      <x:c r="M35" s="2"/>
      <x:c r="N35" s="2"/>
      <x:c r="O35" s="2"/>
      <x:c r="P35" s="2"/>
      <x:c r="Q35" s="2"/>
      <x:c r="R35" s="2"/>
      <x:c r="S35" s="2"/>
      <x:c r="T35" s="2"/>
      <x:c r="U35" s="2"/>
      <x:c r="V35" s="2"/>
      <x:c r="W35" s="2"/>
      <x:c r="X35" s="2"/>
      <x:c r="Y35" s="2"/>
      <x:c r="Z35" s="2"/>
    </x:row>
    <x:row r="36">
      <x:c r="A36" s="4"/>
      <x:c r="B36" s="3" t="str">
        <x:f t="shared" si="0"/>
      </x:c>
      <x:c r="C36" s="5"/>
      <x:c r="D36" s="5" t="s">
        <x:v>289</x:v>
      </x:c>
      <x:c r="E36" s="8"/>
      <x:c r="F36" s="8"/>
      <x:c r="G36" s="9" t="str">
        <x:f t="shared" si="1"/>
      </x:c>
      <x:c r="H36" s="5"/>
      <x:c r="I36" s="5"/>
      <x:c r="J36" s="5"/>
      <x:c r="K36" s="5"/>
      <x:c r="L36" s="5"/>
      <x:c r="M36" s="2"/>
      <x:c r="N36" s="2"/>
      <x:c r="O36" s="2"/>
      <x:c r="P36" s="2"/>
      <x:c r="Q36" s="2"/>
      <x:c r="R36" s="2"/>
      <x:c r="S36" s="2"/>
      <x:c r="T36" s="2"/>
      <x:c r="U36" s="2"/>
      <x:c r="V36" s="2"/>
      <x:c r="W36" s="2"/>
      <x:c r="X36" s="2"/>
      <x:c r="Y36" s="2"/>
      <x:c r="Z36" s="2"/>
    </x:row>
    <x:row r="37">
      <x:c r="A37" s="4"/>
      <x:c r="B37" s="3" t="str">
        <x:f t="shared" si="0"/>
      </x:c>
      <x:c r="C37" s="5"/>
      <x:c r="D37" s="5" t="s">
        <x:v>289</x:v>
      </x:c>
      <x:c r="E37" s="8"/>
      <x:c r="F37" s="8"/>
      <x:c r="G37" s="9" t="str">
        <x:f t="shared" si="1"/>
      </x:c>
      <x:c r="H37" s="5"/>
      <x:c r="I37" s="5"/>
      <x:c r="J37" s="5"/>
      <x:c r="K37" s="5"/>
      <x:c r="L37" s="5"/>
      <x:c r="M37" s="2"/>
      <x:c r="N37" s="2"/>
      <x:c r="O37" s="2"/>
      <x:c r="P37" s="2"/>
      <x:c r="Q37" s="2"/>
      <x:c r="R37" s="2"/>
      <x:c r="S37" s="2"/>
      <x:c r="T37" s="2"/>
      <x:c r="U37" s="2"/>
      <x:c r="V37" s="2"/>
      <x:c r="W37" s="2"/>
      <x:c r="X37" s="2"/>
      <x:c r="Y37" s="2"/>
      <x:c r="Z37" s="2"/>
    </x:row>
    <x:row r="38">
      <x:c r="A38" s="4"/>
      <x:c r="B38" s="3" t="str">
        <x:f t="shared" ref="B38:B69" si="2">IF(A38="","",TEXT(A38,"dddd"))</x:f>
      </x:c>
      <x:c r="C38" s="5"/>
      <x:c r="D38" s="5" t="s">
        <x:v>289</x:v>
      </x:c>
      <x:c r="E38" s="8"/>
      <x:c r="F38" s="8"/>
      <x:c r="G38" s="9" t="str">
        <x:f t="shared" ref="G38:G69" si="3">IF(OR(E38="",F38=""),"",E38*F38)</x:f>
      </x:c>
      <x:c r="H38" s="5"/>
      <x:c r="I38" s="5"/>
      <x:c r="J38" s="5"/>
      <x:c r="K38" s="5"/>
      <x:c r="L38" s="5"/>
      <x:c r="M38" s="2"/>
      <x:c r="N38" s="2"/>
      <x:c r="O38" s="2"/>
      <x:c r="P38" s="2"/>
      <x:c r="Q38" s="2"/>
      <x:c r="R38" s="2"/>
      <x:c r="S38" s="2"/>
      <x:c r="T38" s="2"/>
      <x:c r="U38" s="2"/>
      <x:c r="V38" s="2"/>
      <x:c r="W38" s="2"/>
      <x:c r="X38" s="2"/>
      <x:c r="Y38" s="2"/>
      <x:c r="Z38" s="2"/>
    </x:row>
    <x:row r="39">
      <x:c r="A39" s="4"/>
      <x:c r="B39" s="3" t="str">
        <x:f t="shared" si="2"/>
      </x:c>
      <x:c r="C39" s="5"/>
      <x:c r="D39" s="5" t="s">
        <x:v>289</x:v>
      </x:c>
      <x:c r="E39" s="8"/>
      <x:c r="F39" s="8"/>
      <x:c r="G39" s="9" t="str">
        <x:f t="shared" si="3"/>
      </x:c>
      <x:c r="H39" s="5"/>
      <x:c r="I39" s="5"/>
      <x:c r="J39" s="5"/>
      <x:c r="K39" s="5"/>
      <x:c r="L39" s="5"/>
      <x:c r="M39" s="2"/>
      <x:c r="N39" s="2"/>
      <x:c r="O39" s="2"/>
      <x:c r="P39" s="2"/>
      <x:c r="Q39" s="2"/>
      <x:c r="R39" s="2"/>
      <x:c r="S39" s="2"/>
      <x:c r="T39" s="2"/>
      <x:c r="U39" s="2"/>
      <x:c r="V39" s="2"/>
      <x:c r="W39" s="2"/>
      <x:c r="X39" s="2"/>
      <x:c r="Y39" s="2"/>
      <x:c r="Z39" s="2"/>
    </x:row>
    <x:row r="40">
      <x:c r="A40" s="4"/>
      <x:c r="B40" s="3" t="str">
        <x:f t="shared" si="2"/>
      </x:c>
      <x:c r="C40" s="5"/>
      <x:c r="D40" s="5" t="s">
        <x:v>289</x:v>
      </x:c>
      <x:c r="E40" s="8"/>
      <x:c r="F40" s="8"/>
      <x:c r="G40" s="9" t="str">
        <x:f t="shared" si="3"/>
      </x:c>
      <x:c r="H40" s="5"/>
      <x:c r="I40" s="5"/>
      <x:c r="J40" s="5"/>
      <x:c r="K40" s="5"/>
      <x:c r="L40" s="5"/>
      <x:c r="M40" s="2"/>
      <x:c r="N40" s="2"/>
      <x:c r="O40" s="2"/>
      <x:c r="P40" s="2"/>
      <x:c r="Q40" s="2"/>
      <x:c r="R40" s="2"/>
      <x:c r="S40" s="2"/>
      <x:c r="T40" s="2"/>
      <x:c r="U40" s="2"/>
      <x:c r="V40" s="2"/>
      <x:c r="W40" s="2"/>
      <x:c r="X40" s="2"/>
      <x:c r="Y40" s="2"/>
      <x:c r="Z40" s="2"/>
    </x:row>
    <x:row r="41">
      <x:c r="A41" s="4"/>
      <x:c r="B41" s="3" t="str">
        <x:f t="shared" si="2"/>
      </x:c>
      <x:c r="C41" s="5"/>
      <x:c r="D41" s="5" t="s">
        <x:v>289</x:v>
      </x:c>
      <x:c r="E41" s="8"/>
      <x:c r="F41" s="8"/>
      <x:c r="G41" s="9" t="str">
        <x:f t="shared" si="3"/>
      </x:c>
      <x:c r="H41" s="5"/>
      <x:c r="I41" s="5"/>
      <x:c r="J41" s="5"/>
      <x:c r="K41" s="5"/>
      <x:c r="L41" s="5"/>
      <x:c r="M41" s="2"/>
      <x:c r="N41" s="2"/>
      <x:c r="O41" s="2"/>
      <x:c r="P41" s="2"/>
      <x:c r="Q41" s="2"/>
      <x:c r="R41" s="2"/>
      <x:c r="S41" s="2"/>
      <x:c r="T41" s="2"/>
      <x:c r="U41" s="2"/>
      <x:c r="V41" s="2"/>
      <x:c r="W41" s="2"/>
      <x:c r="X41" s="2"/>
      <x:c r="Y41" s="2"/>
      <x:c r="Z41" s="2"/>
    </x:row>
    <x:row r="42">
      <x:c r="A42" s="4"/>
      <x:c r="B42" s="3" t="str">
        <x:f t="shared" si="2"/>
      </x:c>
      <x:c r="C42" s="5"/>
      <x:c r="D42" s="5" t="s">
        <x:v>289</x:v>
      </x:c>
      <x:c r="E42" s="8"/>
      <x:c r="F42" s="8"/>
      <x:c r="G42" s="9" t="str">
        <x:f t="shared" si="3"/>
      </x:c>
      <x:c r="H42" s="5"/>
      <x:c r="I42" s="5"/>
      <x:c r="J42" s="5"/>
      <x:c r="K42" s="5"/>
      <x:c r="L42" s="5"/>
      <x:c r="M42" s="2"/>
      <x:c r="N42" s="2"/>
      <x:c r="O42" s="2"/>
      <x:c r="P42" s="2"/>
      <x:c r="Q42" s="2"/>
      <x:c r="R42" s="2"/>
      <x:c r="S42" s="2"/>
      <x:c r="T42" s="2"/>
      <x:c r="U42" s="2"/>
      <x:c r="V42" s="2"/>
      <x:c r="W42" s="2"/>
      <x:c r="X42" s="2"/>
      <x:c r="Y42" s="2"/>
      <x:c r="Z42" s="2"/>
    </x:row>
    <x:row r="43">
      <x:c r="A43" s="4"/>
      <x:c r="B43" s="3" t="str">
        <x:f t="shared" si="2"/>
      </x:c>
      <x:c r="C43" s="5"/>
      <x:c r="D43" s="5" t="s">
        <x:v>289</x:v>
      </x:c>
      <x:c r="E43" s="8"/>
      <x:c r="F43" s="8"/>
      <x:c r="G43" s="9" t="str">
        <x:f t="shared" si="3"/>
      </x:c>
      <x:c r="H43" s="5"/>
      <x:c r="I43" s="5"/>
      <x:c r="J43" s="5"/>
      <x:c r="K43" s="5"/>
      <x:c r="L43" s="5"/>
      <x:c r="M43" s="2"/>
      <x:c r="N43" s="2"/>
      <x:c r="O43" s="2"/>
      <x:c r="P43" s="2"/>
      <x:c r="Q43" s="2"/>
      <x:c r="R43" s="2"/>
      <x:c r="S43" s="2"/>
      <x:c r="T43" s="2"/>
      <x:c r="U43" s="2"/>
      <x:c r="V43" s="2"/>
      <x:c r="W43" s="2"/>
      <x:c r="X43" s="2"/>
      <x:c r="Y43" s="2"/>
      <x:c r="Z43" s="2"/>
    </x:row>
    <x:row r="44">
      <x:c r="A44" s="4"/>
      <x:c r="B44" s="3" t="str">
        <x:f t="shared" si="2"/>
      </x:c>
      <x:c r="C44" s="5"/>
      <x:c r="D44" s="5" t="s">
        <x:v>289</x:v>
      </x:c>
      <x:c r="E44" s="8"/>
      <x:c r="F44" s="8"/>
      <x:c r="G44" s="9" t="str">
        <x:f t="shared" si="3"/>
      </x:c>
      <x:c r="H44" s="5"/>
      <x:c r="I44" s="5"/>
      <x:c r="J44" s="5"/>
      <x:c r="K44" s="5"/>
      <x:c r="L44" s="5"/>
      <x:c r="M44" s="2"/>
      <x:c r="N44" s="2"/>
      <x:c r="O44" s="2"/>
      <x:c r="P44" s="2"/>
      <x:c r="Q44" s="2"/>
      <x:c r="R44" s="2"/>
      <x:c r="S44" s="2"/>
      <x:c r="T44" s="2"/>
      <x:c r="U44" s="2"/>
      <x:c r="V44" s="2"/>
      <x:c r="W44" s="2"/>
      <x:c r="X44" s="2"/>
      <x:c r="Y44" s="2"/>
      <x:c r="Z44" s="2"/>
    </x:row>
    <x:row r="45">
      <x:c r="A45" s="4"/>
      <x:c r="B45" s="3" t="str">
        <x:f t="shared" si="2"/>
      </x:c>
      <x:c r="C45" s="5"/>
      <x:c r="D45" s="5" t="s">
        <x:v>289</x:v>
      </x:c>
      <x:c r="E45" s="8"/>
      <x:c r="F45" s="8"/>
      <x:c r="G45" s="9" t="str">
        <x:f t="shared" si="3"/>
      </x:c>
      <x:c r="H45" s="5"/>
      <x:c r="I45" s="5"/>
      <x:c r="J45" s="5"/>
      <x:c r="K45" s="5"/>
      <x:c r="L45" s="5"/>
      <x:c r="M45" s="2"/>
      <x:c r="N45" s="2"/>
      <x:c r="O45" s="2"/>
      <x:c r="P45" s="2"/>
      <x:c r="Q45" s="2"/>
      <x:c r="R45" s="2"/>
      <x:c r="S45" s="2"/>
      <x:c r="T45" s="2"/>
      <x:c r="U45" s="2"/>
      <x:c r="V45" s="2"/>
      <x:c r="W45" s="2"/>
      <x:c r="X45" s="2"/>
      <x:c r="Y45" s="2"/>
      <x:c r="Z45" s="2"/>
    </x:row>
    <x:row r="46">
      <x:c r="A46" s="4"/>
      <x:c r="B46" s="3" t="str">
        <x:f t="shared" si="2"/>
      </x:c>
      <x:c r="C46" s="5"/>
      <x:c r="D46" s="5" t="s">
        <x:v>289</x:v>
      </x:c>
      <x:c r="E46" s="8"/>
      <x:c r="F46" s="8"/>
      <x:c r="G46" s="9" t="str">
        <x:f t="shared" si="3"/>
      </x:c>
      <x:c r="H46" s="5"/>
      <x:c r="I46" s="5"/>
      <x:c r="J46" s="5"/>
      <x:c r="K46" s="5"/>
      <x:c r="L46" s="5"/>
      <x:c r="M46" s="2"/>
      <x:c r="N46" s="2"/>
      <x:c r="O46" s="2"/>
      <x:c r="P46" s="2"/>
      <x:c r="Q46" s="2"/>
      <x:c r="R46" s="2"/>
      <x:c r="S46" s="2"/>
      <x:c r="T46" s="2"/>
      <x:c r="U46" s="2"/>
      <x:c r="V46" s="2"/>
      <x:c r="W46" s="2"/>
      <x:c r="X46" s="2"/>
      <x:c r="Y46" s="2"/>
      <x:c r="Z46" s="2"/>
    </x:row>
    <x:row r="47">
      <x:c r="A47" s="4"/>
      <x:c r="B47" s="3" t="str">
        <x:f t="shared" si="2"/>
      </x:c>
      <x:c r="C47" s="5"/>
      <x:c r="D47" s="5" t="s">
        <x:v>289</x:v>
      </x:c>
      <x:c r="E47" s="8"/>
      <x:c r="F47" s="8"/>
      <x:c r="G47" s="9" t="str">
        <x:f t="shared" si="3"/>
      </x:c>
      <x:c r="H47" s="5"/>
      <x:c r="I47" s="5"/>
      <x:c r="J47" s="5"/>
      <x:c r="K47" s="5"/>
      <x:c r="L47" s="5"/>
      <x:c r="M47" s="2"/>
      <x:c r="N47" s="2"/>
      <x:c r="O47" s="2"/>
      <x:c r="P47" s="2"/>
      <x:c r="Q47" s="2"/>
      <x:c r="R47" s="2"/>
      <x:c r="S47" s="2"/>
      <x:c r="T47" s="2"/>
      <x:c r="U47" s="2"/>
      <x:c r="V47" s="2"/>
      <x:c r="W47" s="2"/>
      <x:c r="X47" s="2"/>
      <x:c r="Y47" s="2"/>
      <x:c r="Z47" s="2"/>
    </x:row>
    <x:row r="48">
      <x:c r="A48" s="4"/>
      <x:c r="B48" s="3" t="str">
        <x:f t="shared" si="2"/>
      </x:c>
      <x:c r="C48" s="5"/>
      <x:c r="D48" s="5" t="s">
        <x:v>289</x:v>
      </x:c>
      <x:c r="E48" s="8"/>
      <x:c r="F48" s="8"/>
      <x:c r="G48" s="9" t="str">
        <x:f t="shared" si="3"/>
      </x:c>
      <x:c r="H48" s="5"/>
      <x:c r="I48" s="5"/>
      <x:c r="J48" s="5"/>
      <x:c r="K48" s="5"/>
      <x:c r="L48" s="5"/>
      <x:c r="M48" s="2"/>
      <x:c r="N48" s="2"/>
      <x:c r="O48" s="2"/>
      <x:c r="P48" s="2"/>
      <x:c r="Q48" s="2"/>
      <x:c r="R48" s="2"/>
      <x:c r="S48" s="2"/>
      <x:c r="T48" s="2"/>
      <x:c r="U48" s="2"/>
      <x:c r="V48" s="2"/>
      <x:c r="W48" s="2"/>
      <x:c r="X48" s="2"/>
      <x:c r="Y48" s="2"/>
      <x:c r="Z48" s="2"/>
    </x:row>
    <x:row r="49">
      <x:c r="A49" s="4"/>
      <x:c r="B49" s="3" t="str">
        <x:f t="shared" si="2"/>
      </x:c>
      <x:c r="C49" s="5"/>
      <x:c r="D49" s="5" t="s">
        <x:v>289</x:v>
      </x:c>
      <x:c r="E49" s="8"/>
      <x:c r="F49" s="8"/>
      <x:c r="G49" s="9" t="str">
        <x:f t="shared" si="3"/>
      </x:c>
      <x:c r="H49" s="5"/>
      <x:c r="I49" s="5"/>
      <x:c r="J49" s="5"/>
      <x:c r="K49" s="5"/>
      <x:c r="L49" s="5"/>
      <x:c r="M49" s="2"/>
      <x:c r="N49" s="2"/>
      <x:c r="O49" s="2"/>
      <x:c r="P49" s="2"/>
      <x:c r="Q49" s="2"/>
      <x:c r="R49" s="2"/>
      <x:c r="S49" s="2"/>
      <x:c r="T49" s="2"/>
      <x:c r="U49" s="2"/>
      <x:c r="V49" s="2"/>
      <x:c r="W49" s="2"/>
      <x:c r="X49" s="2"/>
      <x:c r="Y49" s="2"/>
      <x:c r="Z49" s="2"/>
    </x:row>
    <x:row r="50">
      <x:c r="A50" s="4"/>
      <x:c r="B50" s="3" t="str">
        <x:f t="shared" si="2"/>
      </x:c>
      <x:c r="C50" s="5"/>
      <x:c r="D50" s="5" t="s">
        <x:v>289</x:v>
      </x:c>
      <x:c r="E50" s="8"/>
      <x:c r="F50" s="8"/>
      <x:c r="G50" s="9" t="str">
        <x:f t="shared" si="3"/>
      </x:c>
      <x:c r="H50" s="5"/>
      <x:c r="I50" s="5"/>
      <x:c r="J50" s="5"/>
      <x:c r="K50" s="5"/>
      <x:c r="L50" s="5"/>
      <x:c r="M50" s="2"/>
      <x:c r="N50" s="2"/>
      <x:c r="O50" s="2"/>
      <x:c r="P50" s="2"/>
      <x:c r="Q50" s="2"/>
      <x:c r="R50" s="2"/>
      <x:c r="S50" s="2"/>
      <x:c r="T50" s="2"/>
      <x:c r="U50" s="2"/>
      <x:c r="V50" s="2"/>
      <x:c r="W50" s="2"/>
      <x:c r="X50" s="2"/>
      <x:c r="Y50" s="2"/>
      <x:c r="Z50" s="2"/>
    </x:row>
    <x:row r="51">
      <x:c r="A51" s="4"/>
      <x:c r="B51" s="3" t="str">
        <x:f t="shared" si="2"/>
      </x:c>
      <x:c r="C51" s="5"/>
      <x:c r="D51" s="5" t="s">
        <x:v>289</x:v>
      </x:c>
      <x:c r="E51" s="8"/>
      <x:c r="F51" s="8"/>
      <x:c r="G51" s="9" t="str">
        <x:f t="shared" si="3"/>
      </x:c>
      <x:c r="H51" s="5"/>
      <x:c r="I51" s="5"/>
      <x:c r="J51" s="5"/>
      <x:c r="K51" s="5"/>
      <x:c r="L51" s="5"/>
      <x:c r="M51" s="2"/>
      <x:c r="N51" s="2"/>
      <x:c r="O51" s="2"/>
      <x:c r="P51" s="2"/>
      <x:c r="Q51" s="2"/>
      <x:c r="R51" s="2"/>
      <x:c r="S51" s="2"/>
      <x:c r="T51" s="2"/>
      <x:c r="U51" s="2"/>
      <x:c r="V51" s="2"/>
      <x:c r="W51" s="2"/>
      <x:c r="X51" s="2"/>
      <x:c r="Y51" s="2"/>
      <x:c r="Z51" s="2"/>
    </x:row>
    <x:row r="52">
      <x:c r="A52" s="4"/>
      <x:c r="B52" s="3" t="str">
        <x:f t="shared" si="2"/>
      </x:c>
      <x:c r="C52" s="5"/>
      <x:c r="D52" s="5" t="s">
        <x:v>289</x:v>
      </x:c>
      <x:c r="E52" s="8"/>
      <x:c r="F52" s="8"/>
      <x:c r="G52" s="9" t="str">
        <x:f t="shared" si="3"/>
      </x:c>
      <x:c r="H52" s="5"/>
      <x:c r="I52" s="5"/>
      <x:c r="J52" s="5"/>
      <x:c r="K52" s="5"/>
      <x:c r="L52" s="5"/>
      <x:c r="M52" s="2"/>
      <x:c r="N52" s="2"/>
      <x:c r="O52" s="2"/>
      <x:c r="P52" s="2"/>
      <x:c r="Q52" s="2"/>
      <x:c r="R52" s="2"/>
      <x:c r="S52" s="2"/>
      <x:c r="T52" s="2"/>
      <x:c r="U52" s="2"/>
      <x:c r="V52" s="2"/>
      <x:c r="W52" s="2"/>
      <x:c r="X52" s="2"/>
      <x:c r="Y52" s="2"/>
      <x:c r="Z52" s="2"/>
    </x:row>
    <x:row r="53">
      <x:c r="A53" s="4"/>
      <x:c r="B53" s="3" t="str">
        <x:f t="shared" si="2"/>
      </x:c>
      <x:c r="C53" s="5"/>
      <x:c r="D53" s="5" t="s">
        <x:v>289</x:v>
      </x:c>
      <x:c r="E53" s="8"/>
      <x:c r="F53" s="8"/>
      <x:c r="G53" s="9" t="str">
        <x:f t="shared" si="3"/>
      </x:c>
      <x:c r="H53" s="5"/>
      <x:c r="I53" s="5"/>
      <x:c r="J53" s="5"/>
      <x:c r="K53" s="5"/>
      <x:c r="L53" s="5"/>
      <x:c r="M53" s="2"/>
      <x:c r="N53" s="2"/>
      <x:c r="O53" s="2"/>
      <x:c r="P53" s="2"/>
      <x:c r="Q53" s="2"/>
      <x:c r="R53" s="2"/>
      <x:c r="S53" s="2"/>
      <x:c r="T53" s="2"/>
      <x:c r="U53" s="2"/>
      <x:c r="V53" s="2"/>
      <x:c r="W53" s="2"/>
      <x:c r="X53" s="2"/>
      <x:c r="Y53" s="2"/>
      <x:c r="Z53" s="2"/>
    </x:row>
    <x:row r="54">
      <x:c r="A54" s="4"/>
      <x:c r="B54" s="3" t="str">
        <x:f t="shared" si="2"/>
      </x:c>
      <x:c r="C54" s="5"/>
      <x:c r="D54" s="5" t="s">
        <x:v>289</x:v>
      </x:c>
      <x:c r="E54" s="8"/>
      <x:c r="F54" s="8"/>
      <x:c r="G54" s="9" t="str">
        <x:f t="shared" si="3"/>
      </x:c>
      <x:c r="H54" s="5"/>
      <x:c r="I54" s="5"/>
      <x:c r="J54" s="5"/>
      <x:c r="K54" s="5"/>
      <x:c r="L54" s="5"/>
      <x:c r="M54" s="2"/>
      <x:c r="N54" s="2"/>
      <x:c r="O54" s="2"/>
      <x:c r="P54" s="2"/>
      <x:c r="Q54" s="2"/>
      <x:c r="R54" s="2"/>
      <x:c r="S54" s="2"/>
      <x:c r="T54" s="2"/>
      <x:c r="U54" s="2"/>
      <x:c r="V54" s="2"/>
      <x:c r="W54" s="2"/>
      <x:c r="X54" s="2"/>
      <x:c r="Y54" s="2"/>
      <x:c r="Z54" s="2"/>
    </x:row>
    <x:row r="55">
      <x:c r="A55" s="4"/>
      <x:c r="B55" s="3" t="str">
        <x:f t="shared" si="2"/>
      </x:c>
      <x:c r="C55" s="5"/>
      <x:c r="D55" s="5" t="s">
        <x:v>289</x:v>
      </x:c>
      <x:c r="E55" s="8"/>
      <x:c r="F55" s="8"/>
      <x:c r="G55" s="9" t="str">
        <x:f t="shared" si="3"/>
      </x:c>
      <x:c r="H55" s="5"/>
      <x:c r="I55" s="5"/>
      <x:c r="J55" s="5"/>
      <x:c r="K55" s="5"/>
      <x:c r="L55" s="5"/>
      <x:c r="M55" s="2"/>
      <x:c r="N55" s="2"/>
      <x:c r="O55" s="2"/>
      <x:c r="P55" s="2"/>
      <x:c r="Q55" s="2"/>
      <x:c r="R55" s="2"/>
      <x:c r="S55" s="2"/>
      <x:c r="T55" s="2"/>
      <x:c r="U55" s="2"/>
      <x:c r="V55" s="2"/>
      <x:c r="W55" s="2"/>
      <x:c r="X55" s="2"/>
      <x:c r="Y55" s="2"/>
      <x:c r="Z55" s="2"/>
    </x:row>
    <x:row r="56">
      <x:c r="A56" s="4"/>
      <x:c r="B56" s="3" t="str">
        <x:f t="shared" si="2"/>
      </x:c>
      <x:c r="C56" s="5"/>
      <x:c r="D56" s="5" t="s">
        <x:v>289</x:v>
      </x:c>
      <x:c r="E56" s="8"/>
      <x:c r="F56" s="8"/>
      <x:c r="G56" s="9" t="str">
        <x:f t="shared" si="3"/>
      </x:c>
      <x:c r="H56" s="5"/>
      <x:c r="I56" s="5"/>
      <x:c r="J56" s="5"/>
      <x:c r="K56" s="5"/>
      <x:c r="L56" s="5"/>
      <x:c r="M56" s="2"/>
      <x:c r="N56" s="2"/>
      <x:c r="O56" s="2"/>
      <x:c r="P56" s="2"/>
      <x:c r="Q56" s="2"/>
      <x:c r="R56" s="2"/>
      <x:c r="S56" s="2"/>
      <x:c r="T56" s="2"/>
      <x:c r="U56" s="2"/>
      <x:c r="V56" s="2"/>
      <x:c r="W56" s="2"/>
      <x:c r="X56" s="2"/>
      <x:c r="Y56" s="2"/>
      <x:c r="Z56" s="2"/>
    </x:row>
    <x:row r="57">
      <x:c r="A57" s="4"/>
      <x:c r="B57" s="3" t="str">
        <x:f t="shared" si="2"/>
      </x:c>
      <x:c r="C57" s="5"/>
      <x:c r="D57" s="5" t="s">
        <x:v>289</x:v>
      </x:c>
      <x:c r="E57" s="8"/>
      <x:c r="F57" s="8"/>
      <x:c r="G57" s="9" t="str">
        <x:f t="shared" si="3"/>
      </x:c>
      <x:c r="H57" s="5"/>
      <x:c r="I57" s="5"/>
      <x:c r="J57" s="5"/>
      <x:c r="K57" s="5"/>
      <x:c r="L57" s="5"/>
      <x:c r="M57" s="2"/>
      <x:c r="N57" s="2"/>
      <x:c r="O57" s="2"/>
      <x:c r="P57" s="2"/>
      <x:c r="Q57" s="2"/>
      <x:c r="R57" s="2"/>
      <x:c r="S57" s="2"/>
      <x:c r="T57" s="2"/>
      <x:c r="U57" s="2"/>
      <x:c r="V57" s="2"/>
      <x:c r="W57" s="2"/>
      <x:c r="X57" s="2"/>
      <x:c r="Y57" s="2"/>
      <x:c r="Z57" s="2"/>
    </x:row>
    <x:row r="58">
      <x:c r="A58" s="4"/>
      <x:c r="B58" s="3" t="str">
        <x:f t="shared" si="2"/>
      </x:c>
      <x:c r="C58" s="5"/>
      <x:c r="D58" s="5" t="s">
        <x:v>289</x:v>
      </x:c>
      <x:c r="E58" s="8"/>
      <x:c r="F58" s="8"/>
      <x:c r="G58" s="9" t="str">
        <x:f t="shared" si="3"/>
      </x:c>
      <x:c r="H58" s="5"/>
      <x:c r="I58" s="5"/>
      <x:c r="J58" s="5"/>
      <x:c r="K58" s="5"/>
      <x:c r="L58" s="5"/>
      <x:c r="M58" s="2"/>
      <x:c r="N58" s="2"/>
      <x:c r="O58" s="2"/>
      <x:c r="P58" s="2"/>
      <x:c r="Q58" s="2"/>
      <x:c r="R58" s="2"/>
      <x:c r="S58" s="2"/>
      <x:c r="T58" s="2"/>
      <x:c r="U58" s="2"/>
      <x:c r="V58" s="2"/>
      <x:c r="W58" s="2"/>
      <x:c r="X58" s="2"/>
      <x:c r="Y58" s="2"/>
      <x:c r="Z58" s="2"/>
    </x:row>
    <x:row r="59">
      <x:c r="A59" s="4"/>
      <x:c r="B59" s="3" t="str">
        <x:f t="shared" si="2"/>
      </x:c>
      <x:c r="C59" s="5"/>
      <x:c r="D59" s="5" t="s">
        <x:v>289</x:v>
      </x:c>
      <x:c r="E59" s="8"/>
      <x:c r="F59" s="8"/>
      <x:c r="G59" s="9" t="str">
        <x:f t="shared" si="3"/>
      </x:c>
      <x:c r="H59" s="5"/>
      <x:c r="I59" s="5"/>
      <x:c r="J59" s="5"/>
      <x:c r="K59" s="5"/>
      <x:c r="L59" s="5"/>
      <x:c r="M59" s="2"/>
      <x:c r="N59" s="2"/>
      <x:c r="O59" s="2"/>
      <x:c r="P59" s="2"/>
      <x:c r="Q59" s="2"/>
      <x:c r="R59" s="2"/>
      <x:c r="S59" s="2"/>
      <x:c r="T59" s="2"/>
      <x:c r="U59" s="2"/>
      <x:c r="V59" s="2"/>
      <x:c r="W59" s="2"/>
      <x:c r="X59" s="2"/>
      <x:c r="Y59" s="2"/>
      <x:c r="Z59" s="2"/>
    </x:row>
    <x:row r="60">
      <x:c r="A60" s="4"/>
      <x:c r="B60" s="3" t="str">
        <x:f t="shared" si="2"/>
      </x:c>
      <x:c r="C60" s="5"/>
      <x:c r="D60" s="5" t="s">
        <x:v>289</x:v>
      </x:c>
      <x:c r="E60" s="8"/>
      <x:c r="F60" s="8"/>
      <x:c r="G60" s="9" t="str">
        <x:f t="shared" si="3"/>
      </x:c>
      <x:c r="H60" s="5"/>
      <x:c r="I60" s="5"/>
      <x:c r="J60" s="5"/>
      <x:c r="K60" s="5"/>
      <x:c r="L60" s="5"/>
      <x:c r="M60" s="2"/>
      <x:c r="N60" s="2"/>
      <x:c r="O60" s="2"/>
      <x:c r="P60" s="2"/>
      <x:c r="Q60" s="2"/>
      <x:c r="R60" s="2"/>
      <x:c r="S60" s="2"/>
      <x:c r="T60" s="2"/>
      <x:c r="U60" s="2"/>
      <x:c r="V60" s="2"/>
      <x:c r="W60" s="2"/>
      <x:c r="X60" s="2"/>
      <x:c r="Y60" s="2"/>
      <x:c r="Z60" s="2"/>
    </x:row>
    <x:row r="61">
      <x:c r="A61" s="4"/>
      <x:c r="B61" s="3" t="str">
        <x:f t="shared" si="2"/>
      </x:c>
      <x:c r="C61" s="5"/>
      <x:c r="D61" s="5" t="s">
        <x:v>289</x:v>
      </x:c>
      <x:c r="E61" s="8"/>
      <x:c r="F61" s="8"/>
      <x:c r="G61" s="9" t="str">
        <x:f t="shared" si="3"/>
      </x:c>
      <x:c r="H61" s="5"/>
      <x:c r="I61" s="5"/>
      <x:c r="J61" s="5"/>
      <x:c r="K61" s="5"/>
      <x:c r="L61" s="5"/>
      <x:c r="M61" s="2"/>
      <x:c r="N61" s="2"/>
      <x:c r="O61" s="2"/>
      <x:c r="P61" s="2"/>
      <x:c r="Q61" s="2"/>
      <x:c r="R61" s="2"/>
      <x:c r="S61" s="2"/>
      <x:c r="T61" s="2"/>
      <x:c r="U61" s="2"/>
      <x:c r="V61" s="2"/>
      <x:c r="W61" s="2"/>
      <x:c r="X61" s="2"/>
      <x:c r="Y61" s="2"/>
      <x:c r="Z61" s="2"/>
    </x:row>
    <x:row r="62">
      <x:c r="A62" s="4"/>
      <x:c r="B62" s="3" t="str">
        <x:f t="shared" si="2"/>
      </x:c>
      <x:c r="C62" s="5"/>
      <x:c r="D62" s="5" t="s">
        <x:v>289</x:v>
      </x:c>
      <x:c r="E62" s="8"/>
      <x:c r="F62" s="8"/>
      <x:c r="G62" s="9" t="str">
        <x:f t="shared" si="3"/>
      </x:c>
      <x:c r="H62" s="5"/>
      <x:c r="I62" s="5"/>
      <x:c r="J62" s="5"/>
      <x:c r="K62" s="5"/>
      <x:c r="L62" s="5"/>
      <x:c r="M62" s="2"/>
      <x:c r="N62" s="2"/>
      <x:c r="O62" s="2"/>
      <x:c r="P62" s="2"/>
      <x:c r="Q62" s="2"/>
      <x:c r="R62" s="2"/>
      <x:c r="S62" s="2"/>
      <x:c r="T62" s="2"/>
      <x:c r="U62" s="2"/>
      <x:c r="V62" s="2"/>
      <x:c r="W62" s="2"/>
      <x:c r="X62" s="2"/>
      <x:c r="Y62" s="2"/>
      <x:c r="Z62" s="2"/>
    </x:row>
    <x:row r="63">
      <x:c r="A63" s="4"/>
      <x:c r="B63" s="3" t="str">
        <x:f t="shared" si="2"/>
      </x:c>
      <x:c r="C63" s="5"/>
      <x:c r="D63" s="5" t="s">
        <x:v>289</x:v>
      </x:c>
      <x:c r="E63" s="8"/>
      <x:c r="F63" s="8"/>
      <x:c r="G63" s="9" t="str">
        <x:f t="shared" si="3"/>
      </x:c>
      <x:c r="H63" s="5"/>
      <x:c r="I63" s="5"/>
      <x:c r="J63" s="5"/>
      <x:c r="K63" s="5"/>
      <x:c r="L63" s="5"/>
      <x:c r="M63" s="2"/>
      <x:c r="N63" s="2"/>
      <x:c r="O63" s="2"/>
      <x:c r="P63" s="2"/>
      <x:c r="Q63" s="2"/>
      <x:c r="R63" s="2"/>
      <x:c r="S63" s="2"/>
      <x:c r="T63" s="2"/>
      <x:c r="U63" s="2"/>
      <x:c r="V63" s="2"/>
      <x:c r="W63" s="2"/>
      <x:c r="X63" s="2"/>
      <x:c r="Y63" s="2"/>
      <x:c r="Z63" s="2"/>
    </x:row>
    <x:row r="64">
      <x:c r="A64" s="4"/>
      <x:c r="B64" s="3" t="str">
        <x:f t="shared" si="2"/>
      </x:c>
      <x:c r="C64" s="5"/>
      <x:c r="D64" s="5" t="s">
        <x:v>289</x:v>
      </x:c>
      <x:c r="E64" s="8"/>
      <x:c r="F64" s="8"/>
      <x:c r="G64" s="9" t="str">
        <x:f t="shared" si="3"/>
      </x:c>
      <x:c r="H64" s="5"/>
      <x:c r="I64" s="5"/>
      <x:c r="J64" s="5"/>
      <x:c r="K64" s="5"/>
      <x:c r="L64" s="5"/>
      <x:c r="M64" s="2"/>
      <x:c r="N64" s="2"/>
      <x:c r="O64" s="2"/>
      <x:c r="P64" s="2"/>
      <x:c r="Q64" s="2"/>
      <x:c r="R64" s="2"/>
      <x:c r="S64" s="2"/>
      <x:c r="T64" s="2"/>
      <x:c r="U64" s="2"/>
      <x:c r="V64" s="2"/>
      <x:c r="W64" s="2"/>
      <x:c r="X64" s="2"/>
      <x:c r="Y64" s="2"/>
      <x:c r="Z64" s="2"/>
    </x:row>
    <x:row r="65">
      <x:c r="A65" s="4"/>
      <x:c r="B65" s="3" t="str">
        <x:f t="shared" si="2"/>
      </x:c>
      <x:c r="C65" s="5"/>
      <x:c r="D65" s="5" t="s">
        <x:v>289</x:v>
      </x:c>
      <x:c r="E65" s="8"/>
      <x:c r="F65" s="8"/>
      <x:c r="G65" s="9" t="str">
        <x:f t="shared" si="3"/>
      </x:c>
      <x:c r="H65" s="5"/>
      <x:c r="I65" s="5"/>
      <x:c r="J65" s="5"/>
      <x:c r="K65" s="5"/>
      <x:c r="L65" s="5"/>
      <x:c r="M65" s="2"/>
      <x:c r="N65" s="2"/>
      <x:c r="O65" s="2"/>
      <x:c r="P65" s="2"/>
      <x:c r="Q65" s="2"/>
      <x:c r="R65" s="2"/>
      <x:c r="S65" s="2"/>
      <x:c r="T65" s="2"/>
      <x:c r="U65" s="2"/>
      <x:c r="V65" s="2"/>
      <x:c r="W65" s="2"/>
      <x:c r="X65" s="2"/>
      <x:c r="Y65" s="2"/>
      <x:c r="Z65" s="2"/>
    </x:row>
    <x:row r="66">
      <x:c r="A66" s="4"/>
      <x:c r="B66" s="3" t="str">
        <x:f t="shared" si="2"/>
      </x:c>
      <x:c r="C66" s="5"/>
      <x:c r="D66" s="5" t="s">
        <x:v>289</x:v>
      </x:c>
      <x:c r="E66" s="8"/>
      <x:c r="F66" s="8"/>
      <x:c r="G66" s="9" t="str">
        <x:f t="shared" si="3"/>
      </x:c>
      <x:c r="H66" s="5"/>
      <x:c r="I66" s="5"/>
      <x:c r="J66" s="5"/>
      <x:c r="K66" s="5"/>
      <x:c r="L66" s="5"/>
      <x:c r="M66" s="2"/>
      <x:c r="N66" s="2"/>
      <x:c r="O66" s="2"/>
      <x:c r="P66" s="2"/>
      <x:c r="Q66" s="2"/>
      <x:c r="R66" s="2"/>
      <x:c r="S66" s="2"/>
      <x:c r="T66" s="2"/>
      <x:c r="U66" s="2"/>
      <x:c r="V66" s="2"/>
      <x:c r="W66" s="2"/>
      <x:c r="X66" s="2"/>
      <x:c r="Y66" s="2"/>
      <x:c r="Z66" s="2"/>
    </x:row>
    <x:row r="67">
      <x:c r="A67" s="4"/>
      <x:c r="B67" s="3" t="str">
        <x:f t="shared" si="2"/>
      </x:c>
      <x:c r="C67" s="5"/>
      <x:c r="D67" s="5" t="s">
        <x:v>289</x:v>
      </x:c>
      <x:c r="E67" s="8"/>
      <x:c r="F67" s="8"/>
      <x:c r="G67" s="9" t="str">
        <x:f t="shared" si="3"/>
      </x:c>
      <x:c r="H67" s="5"/>
      <x:c r="I67" s="5"/>
      <x:c r="J67" s="5"/>
      <x:c r="K67" s="5"/>
      <x:c r="L67" s="5"/>
      <x:c r="M67" s="2"/>
      <x:c r="N67" s="2"/>
      <x:c r="O67" s="2"/>
      <x:c r="P67" s="2"/>
      <x:c r="Q67" s="2"/>
      <x:c r="R67" s="2"/>
      <x:c r="S67" s="2"/>
      <x:c r="T67" s="2"/>
      <x:c r="U67" s="2"/>
      <x:c r="V67" s="2"/>
      <x:c r="W67" s="2"/>
      <x:c r="X67" s="2"/>
      <x:c r="Y67" s="2"/>
      <x:c r="Z67" s="2"/>
    </x:row>
    <x:row r="68">
      <x:c r="A68" s="4"/>
      <x:c r="B68" s="3" t="str">
        <x:f t="shared" si="2"/>
      </x:c>
      <x:c r="C68" s="5"/>
      <x:c r="D68" s="5" t="s">
        <x:v>289</x:v>
      </x:c>
      <x:c r="E68" s="8"/>
      <x:c r="F68" s="8"/>
      <x:c r="G68" s="9" t="str">
        <x:f t="shared" si="3"/>
      </x:c>
      <x:c r="H68" s="5"/>
      <x:c r="I68" s="5"/>
      <x:c r="J68" s="5"/>
      <x:c r="K68" s="5"/>
      <x:c r="L68" s="5"/>
      <x:c r="M68" s="2"/>
      <x:c r="N68" s="2"/>
      <x:c r="O68" s="2"/>
      <x:c r="P68" s="2"/>
      <x:c r="Q68" s="2"/>
      <x:c r="R68" s="2"/>
      <x:c r="S68" s="2"/>
      <x:c r="T68" s="2"/>
      <x:c r="U68" s="2"/>
      <x:c r="V68" s="2"/>
      <x:c r="W68" s="2"/>
      <x:c r="X68" s="2"/>
      <x:c r="Y68" s="2"/>
      <x:c r="Z68" s="2"/>
    </x:row>
    <x:row r="69">
      <x:c r="A69" s="4"/>
      <x:c r="B69" s="3" t="str">
        <x:f t="shared" si="2"/>
      </x:c>
      <x:c r="C69" s="5"/>
      <x:c r="D69" s="5" t="s">
        <x:v>289</x:v>
      </x:c>
      <x:c r="E69" s="8"/>
      <x:c r="F69" s="8"/>
      <x:c r="G69" s="9" t="str">
        <x:f t="shared" si="3"/>
      </x:c>
      <x:c r="H69" s="5"/>
      <x:c r="I69" s="5"/>
      <x:c r="J69" s="5"/>
      <x:c r="K69" s="5"/>
      <x:c r="L69" s="5"/>
      <x:c r="M69" s="2"/>
      <x:c r="N69" s="2"/>
      <x:c r="O69" s="2"/>
      <x:c r="P69" s="2"/>
      <x:c r="Q69" s="2"/>
      <x:c r="R69" s="2"/>
      <x:c r="S69" s="2"/>
      <x:c r="T69" s="2"/>
      <x:c r="U69" s="2"/>
      <x:c r="V69" s="2"/>
      <x:c r="W69" s="2"/>
      <x:c r="X69" s="2"/>
      <x:c r="Y69" s="2"/>
      <x:c r="Z69" s="2"/>
    </x:row>
    <x:row r="70">
      <x:c r="A70" s="4"/>
      <x:c r="B70" s="3" t="str">
        <x:f t="shared" ref="B70:B101" si="4">IF(A70="","",TEXT(A70,"dddd"))</x:f>
      </x:c>
      <x:c r="C70" s="5"/>
      <x:c r="D70" s="5" t="s">
        <x:v>289</x:v>
      </x:c>
      <x:c r="E70" s="8"/>
      <x:c r="F70" s="8"/>
      <x:c r="G70" s="9" t="str">
        <x:f t="shared" ref="G70:G101" si="5">IF(OR(E70="",F70=""),"",E70*F70)</x:f>
      </x:c>
      <x:c r="H70" s="5"/>
      <x:c r="I70" s="5"/>
      <x:c r="J70" s="5"/>
      <x:c r="K70" s="5"/>
      <x:c r="L70" s="5"/>
      <x:c r="M70" s="2"/>
      <x:c r="N70" s="2"/>
      <x:c r="O70" s="2"/>
      <x:c r="P70" s="2"/>
      <x:c r="Q70" s="2"/>
      <x:c r="R70" s="2"/>
      <x:c r="S70" s="2"/>
      <x:c r="T70" s="2"/>
      <x:c r="U70" s="2"/>
      <x:c r="V70" s="2"/>
      <x:c r="W70" s="2"/>
      <x:c r="X70" s="2"/>
      <x:c r="Y70" s="2"/>
      <x:c r="Z70" s="2"/>
    </x:row>
    <x:row r="71">
      <x:c r="A71" s="4"/>
      <x:c r="B71" s="3" t="str">
        <x:f t="shared" si="4"/>
      </x:c>
      <x:c r="C71" s="5"/>
      <x:c r="D71" s="5" t="s">
        <x:v>289</x:v>
      </x:c>
      <x:c r="E71" s="8"/>
      <x:c r="F71" s="8"/>
      <x:c r="G71" s="9" t="str">
        <x:f t="shared" si="5"/>
      </x:c>
      <x:c r="H71" s="5"/>
      <x:c r="I71" s="5"/>
      <x:c r="J71" s="5"/>
      <x:c r="K71" s="5"/>
      <x:c r="L71" s="5"/>
      <x:c r="M71" s="2"/>
      <x:c r="N71" s="2"/>
      <x:c r="O71" s="2"/>
      <x:c r="P71" s="2"/>
      <x:c r="Q71" s="2"/>
      <x:c r="R71" s="2"/>
      <x:c r="S71" s="2"/>
      <x:c r="T71" s="2"/>
      <x:c r="U71" s="2"/>
      <x:c r="V71" s="2"/>
      <x:c r="W71" s="2"/>
      <x:c r="X71" s="2"/>
      <x:c r="Y71" s="2"/>
      <x:c r="Z71" s="2"/>
    </x:row>
    <x:row r="72">
      <x:c r="A72" s="4"/>
      <x:c r="B72" s="3" t="str">
        <x:f t="shared" si="4"/>
      </x:c>
      <x:c r="C72" s="5"/>
      <x:c r="D72" s="5" t="s">
        <x:v>289</x:v>
      </x:c>
      <x:c r="E72" s="8"/>
      <x:c r="F72" s="8"/>
      <x:c r="G72" s="9" t="str">
        <x:f t="shared" si="5"/>
      </x:c>
      <x:c r="H72" s="5"/>
      <x:c r="I72" s="5"/>
      <x:c r="J72" s="5"/>
      <x:c r="K72" s="5"/>
      <x:c r="L72" s="5"/>
      <x:c r="M72" s="2"/>
      <x:c r="N72" s="2"/>
      <x:c r="O72" s="2"/>
      <x:c r="P72" s="2"/>
      <x:c r="Q72" s="2"/>
      <x:c r="R72" s="2"/>
      <x:c r="S72" s="2"/>
      <x:c r="T72" s="2"/>
      <x:c r="U72" s="2"/>
      <x:c r="V72" s="2"/>
      <x:c r="W72" s="2"/>
      <x:c r="X72" s="2"/>
      <x:c r="Y72" s="2"/>
      <x:c r="Z72" s="2"/>
    </x:row>
    <x:row r="73">
      <x:c r="A73" s="4"/>
      <x:c r="B73" s="3" t="str">
        <x:f t="shared" si="4"/>
      </x:c>
      <x:c r="C73" s="5"/>
      <x:c r="D73" s="5" t="s">
        <x:v>289</x:v>
      </x:c>
      <x:c r="E73" s="8"/>
      <x:c r="F73" s="8"/>
      <x:c r="G73" s="9" t="str">
        <x:f t="shared" si="5"/>
      </x:c>
      <x:c r="H73" s="5"/>
      <x:c r="I73" s="5"/>
      <x:c r="J73" s="5"/>
      <x:c r="K73" s="5"/>
      <x:c r="L73" s="5"/>
      <x:c r="M73" s="2"/>
      <x:c r="N73" s="2"/>
      <x:c r="O73" s="2"/>
      <x:c r="P73" s="2"/>
      <x:c r="Q73" s="2"/>
      <x:c r="R73" s="2"/>
      <x:c r="S73" s="2"/>
      <x:c r="T73" s="2"/>
      <x:c r="U73" s="2"/>
      <x:c r="V73" s="2"/>
      <x:c r="W73" s="2"/>
      <x:c r="X73" s="2"/>
      <x:c r="Y73" s="2"/>
      <x:c r="Z73" s="2"/>
    </x:row>
    <x:row r="74">
      <x:c r="A74" s="4"/>
      <x:c r="B74" s="3" t="str">
        <x:f t="shared" si="4"/>
      </x:c>
      <x:c r="C74" s="5"/>
      <x:c r="D74" s="5" t="s">
        <x:v>289</x:v>
      </x:c>
      <x:c r="E74" s="8"/>
      <x:c r="F74" s="8"/>
      <x:c r="G74" s="9" t="str">
        <x:f t="shared" si="5"/>
      </x:c>
      <x:c r="H74" s="5"/>
      <x:c r="I74" s="5"/>
      <x:c r="J74" s="5"/>
      <x:c r="K74" s="5"/>
      <x:c r="L74" s="5"/>
      <x:c r="M74" s="2"/>
      <x:c r="N74" s="2"/>
      <x:c r="O74" s="2"/>
      <x:c r="P74" s="2"/>
      <x:c r="Q74" s="2"/>
      <x:c r="R74" s="2"/>
      <x:c r="S74" s="2"/>
      <x:c r="T74" s="2"/>
      <x:c r="U74" s="2"/>
      <x:c r="V74" s="2"/>
      <x:c r="W74" s="2"/>
      <x:c r="X74" s="2"/>
      <x:c r="Y74" s="2"/>
      <x:c r="Z74" s="2"/>
    </x:row>
    <x:row r="75">
      <x:c r="A75" s="4"/>
      <x:c r="B75" s="3" t="str">
        <x:f t="shared" si="4"/>
      </x:c>
      <x:c r="C75" s="5"/>
      <x:c r="D75" s="5" t="s">
        <x:v>289</x:v>
      </x:c>
      <x:c r="E75" s="8"/>
      <x:c r="F75" s="8"/>
      <x:c r="G75" s="9" t="str">
        <x:f t="shared" si="5"/>
      </x:c>
      <x:c r="H75" s="5"/>
      <x:c r="I75" s="5"/>
      <x:c r="J75" s="5"/>
      <x:c r="K75" s="5"/>
      <x:c r="L75" s="5"/>
      <x:c r="M75" s="2"/>
      <x:c r="N75" s="2"/>
      <x:c r="O75" s="2"/>
      <x:c r="P75" s="2"/>
      <x:c r="Q75" s="2"/>
      <x:c r="R75" s="2"/>
      <x:c r="S75" s="2"/>
      <x:c r="T75" s="2"/>
      <x:c r="U75" s="2"/>
      <x:c r="V75" s="2"/>
      <x:c r="W75" s="2"/>
      <x:c r="X75" s="2"/>
      <x:c r="Y75" s="2"/>
      <x:c r="Z75" s="2"/>
    </x:row>
    <x:row r="76">
      <x:c r="A76" s="4"/>
      <x:c r="B76" s="3" t="str">
        <x:f t="shared" si="4"/>
      </x:c>
      <x:c r="C76" s="5"/>
      <x:c r="D76" s="5" t="s">
        <x:v>289</x:v>
      </x:c>
      <x:c r="E76" s="8"/>
      <x:c r="F76" s="8"/>
      <x:c r="G76" s="9" t="str">
        <x:f t="shared" si="5"/>
      </x:c>
      <x:c r="H76" s="5"/>
      <x:c r="I76" s="5"/>
      <x:c r="J76" s="5"/>
      <x:c r="K76" s="5"/>
      <x:c r="L76" s="5"/>
      <x:c r="M76" s="2"/>
      <x:c r="N76" s="2"/>
      <x:c r="O76" s="2"/>
      <x:c r="P76" s="2"/>
      <x:c r="Q76" s="2"/>
      <x:c r="R76" s="2"/>
      <x:c r="S76" s="2"/>
      <x:c r="T76" s="2"/>
      <x:c r="U76" s="2"/>
      <x:c r="V76" s="2"/>
      <x:c r="W76" s="2"/>
      <x:c r="X76" s="2"/>
      <x:c r="Y76" s="2"/>
      <x:c r="Z76" s="2"/>
    </x:row>
    <x:row r="77">
      <x:c r="A77" s="4"/>
      <x:c r="B77" s="3" t="str">
        <x:f t="shared" si="4"/>
      </x:c>
      <x:c r="C77" s="5"/>
      <x:c r="D77" s="5" t="s">
        <x:v>289</x:v>
      </x:c>
      <x:c r="E77" s="8"/>
      <x:c r="F77" s="8"/>
      <x:c r="G77" s="9" t="str">
        <x:f t="shared" si="5"/>
      </x:c>
      <x:c r="H77" s="5"/>
      <x:c r="I77" s="5"/>
      <x:c r="J77" s="5"/>
      <x:c r="K77" s="5"/>
      <x:c r="L77" s="5"/>
      <x:c r="M77" s="2"/>
      <x:c r="N77" s="2"/>
      <x:c r="O77" s="2"/>
      <x:c r="P77" s="2"/>
      <x:c r="Q77" s="2"/>
      <x:c r="R77" s="2"/>
      <x:c r="S77" s="2"/>
      <x:c r="T77" s="2"/>
      <x:c r="U77" s="2"/>
      <x:c r="V77" s="2"/>
      <x:c r="W77" s="2"/>
      <x:c r="X77" s="2"/>
      <x:c r="Y77" s="2"/>
      <x:c r="Z77" s="2"/>
    </x:row>
    <x:row r="78">
      <x:c r="A78" s="4"/>
      <x:c r="B78" s="3" t="str">
        <x:f t="shared" si="4"/>
      </x:c>
      <x:c r="C78" s="5"/>
      <x:c r="D78" s="5" t="s">
        <x:v>289</x:v>
      </x:c>
      <x:c r="E78" s="8"/>
      <x:c r="F78" s="8"/>
      <x:c r="G78" s="9" t="str">
        <x:f t="shared" si="5"/>
      </x:c>
      <x:c r="H78" s="5"/>
      <x:c r="I78" s="5"/>
      <x:c r="J78" s="5"/>
      <x:c r="K78" s="5"/>
      <x:c r="L78" s="5"/>
      <x:c r="M78" s="2"/>
      <x:c r="N78" s="2"/>
      <x:c r="O78" s="2"/>
      <x:c r="P78" s="2"/>
      <x:c r="Q78" s="2"/>
      <x:c r="R78" s="2"/>
      <x:c r="S78" s="2"/>
      <x:c r="T78" s="2"/>
      <x:c r="U78" s="2"/>
      <x:c r="V78" s="2"/>
      <x:c r="W78" s="2"/>
      <x:c r="X78" s="2"/>
      <x:c r="Y78" s="2"/>
      <x:c r="Z78" s="2"/>
    </x:row>
    <x:row r="79">
      <x:c r="A79" s="4"/>
      <x:c r="B79" s="3" t="str">
        <x:f t="shared" si="4"/>
      </x:c>
      <x:c r="C79" s="5"/>
      <x:c r="D79" s="5" t="s">
        <x:v>289</x:v>
      </x:c>
      <x:c r="E79" s="8"/>
      <x:c r="F79" s="8"/>
      <x:c r="G79" s="9" t="str">
        <x:f t="shared" si="5"/>
      </x:c>
      <x:c r="H79" s="5"/>
      <x:c r="I79" s="5"/>
      <x:c r="J79" s="5"/>
      <x:c r="K79" s="5"/>
      <x:c r="L79" s="5"/>
      <x:c r="M79" s="2"/>
      <x:c r="N79" s="2"/>
      <x:c r="O79" s="2"/>
      <x:c r="P79" s="2"/>
      <x:c r="Q79" s="2"/>
      <x:c r="R79" s="2"/>
      <x:c r="S79" s="2"/>
      <x:c r="T79" s="2"/>
      <x:c r="U79" s="2"/>
      <x:c r="V79" s="2"/>
      <x:c r="W79" s="2"/>
      <x:c r="X79" s="2"/>
      <x:c r="Y79" s="2"/>
      <x:c r="Z79" s="2"/>
    </x:row>
    <x:row r="80">
      <x:c r="A80" s="4"/>
      <x:c r="B80" s="3" t="str">
        <x:f t="shared" si="4"/>
      </x:c>
      <x:c r="C80" s="5"/>
      <x:c r="D80" s="5" t="s">
        <x:v>289</x:v>
      </x:c>
      <x:c r="E80" s="8"/>
      <x:c r="F80" s="8"/>
      <x:c r="G80" s="9" t="str">
        <x:f t="shared" si="5"/>
      </x:c>
      <x:c r="H80" s="5"/>
      <x:c r="I80" s="5"/>
      <x:c r="J80" s="5"/>
      <x:c r="K80" s="5"/>
      <x:c r="L80" s="5"/>
      <x:c r="M80" s="2"/>
      <x:c r="N80" s="2"/>
      <x:c r="O80" s="2"/>
      <x:c r="P80" s="2"/>
      <x:c r="Q80" s="2"/>
      <x:c r="R80" s="2"/>
      <x:c r="S80" s="2"/>
      <x:c r="T80" s="2"/>
      <x:c r="U80" s="2"/>
      <x:c r="V80" s="2"/>
      <x:c r="W80" s="2"/>
      <x:c r="X80" s="2"/>
      <x:c r="Y80" s="2"/>
      <x:c r="Z80" s="2"/>
    </x:row>
    <x:row r="81">
      <x:c r="A81" s="4"/>
      <x:c r="B81" s="3" t="str">
        <x:f t="shared" si="4"/>
      </x:c>
      <x:c r="C81" s="5"/>
      <x:c r="D81" s="5" t="s">
        <x:v>289</x:v>
      </x:c>
      <x:c r="E81" s="8"/>
      <x:c r="F81" s="8"/>
      <x:c r="G81" s="9" t="str">
        <x:f t="shared" si="5"/>
      </x:c>
      <x:c r="H81" s="5"/>
      <x:c r="I81" s="5"/>
      <x:c r="J81" s="5"/>
      <x:c r="K81" s="5"/>
      <x:c r="L81" s="5"/>
      <x:c r="M81" s="2"/>
      <x:c r="N81" s="2"/>
      <x:c r="O81" s="2"/>
      <x:c r="P81" s="2"/>
      <x:c r="Q81" s="2"/>
      <x:c r="R81" s="2"/>
      <x:c r="S81" s="2"/>
      <x:c r="T81" s="2"/>
      <x:c r="U81" s="2"/>
      <x:c r="V81" s="2"/>
      <x:c r="W81" s="2"/>
      <x:c r="X81" s="2"/>
      <x:c r="Y81" s="2"/>
      <x:c r="Z81" s="2"/>
    </x:row>
    <x:row r="82">
      <x:c r="A82" s="4"/>
      <x:c r="B82" s="3" t="str">
        <x:f t="shared" si="4"/>
      </x:c>
      <x:c r="C82" s="5"/>
      <x:c r="D82" s="5" t="s">
        <x:v>289</x:v>
      </x:c>
      <x:c r="E82" s="8"/>
      <x:c r="F82" s="8"/>
      <x:c r="G82" s="9" t="str">
        <x:f t="shared" si="5"/>
      </x:c>
      <x:c r="H82" s="5"/>
      <x:c r="I82" s="5"/>
      <x:c r="J82" s="5"/>
      <x:c r="K82" s="5"/>
      <x:c r="L82" s="5"/>
      <x:c r="M82" s="2"/>
      <x:c r="N82" s="2"/>
      <x:c r="O82" s="2"/>
      <x:c r="P82" s="2"/>
      <x:c r="Q82" s="2"/>
      <x:c r="R82" s="2"/>
      <x:c r="S82" s="2"/>
      <x:c r="T82" s="2"/>
      <x:c r="U82" s="2"/>
      <x:c r="V82" s="2"/>
      <x:c r="W82" s="2"/>
      <x:c r="X82" s="2"/>
      <x:c r="Y82" s="2"/>
      <x:c r="Z82" s="2"/>
    </x:row>
    <x:row r="83">
      <x:c r="A83" s="4"/>
      <x:c r="B83" s="3" t="str">
        <x:f t="shared" si="4"/>
      </x:c>
      <x:c r="C83" s="5"/>
      <x:c r="D83" s="5" t="s">
        <x:v>289</x:v>
      </x:c>
      <x:c r="E83" s="8"/>
      <x:c r="F83" s="8"/>
      <x:c r="G83" s="9" t="str">
        <x:f t="shared" si="5"/>
      </x:c>
      <x:c r="H83" s="5"/>
      <x:c r="I83" s="5"/>
      <x:c r="J83" s="5"/>
      <x:c r="K83" s="5"/>
      <x:c r="L83" s="5"/>
      <x:c r="M83" s="2"/>
      <x:c r="N83" s="2"/>
      <x:c r="O83" s="2"/>
      <x:c r="P83" s="2"/>
      <x:c r="Q83" s="2"/>
      <x:c r="R83" s="2"/>
      <x:c r="S83" s="2"/>
      <x:c r="T83" s="2"/>
      <x:c r="U83" s="2"/>
      <x:c r="V83" s="2"/>
      <x:c r="W83" s="2"/>
      <x:c r="X83" s="2"/>
      <x:c r="Y83" s="2"/>
      <x:c r="Z83" s="2"/>
    </x:row>
    <x:row r="84">
      <x:c r="A84" s="4"/>
      <x:c r="B84" s="3" t="str">
        <x:f t="shared" si="4"/>
      </x:c>
      <x:c r="C84" s="5"/>
      <x:c r="D84" s="5" t="s">
        <x:v>289</x:v>
      </x:c>
      <x:c r="E84" s="8"/>
      <x:c r="F84" s="8"/>
      <x:c r="G84" s="9" t="str">
        <x:f t="shared" si="5"/>
      </x:c>
      <x:c r="H84" s="5"/>
      <x:c r="I84" s="5"/>
      <x:c r="J84" s="5"/>
      <x:c r="K84" s="5"/>
      <x:c r="L84" s="5"/>
      <x:c r="M84" s="2"/>
      <x:c r="N84" s="2"/>
      <x:c r="O84" s="2"/>
      <x:c r="P84" s="2"/>
      <x:c r="Q84" s="2"/>
      <x:c r="R84" s="2"/>
      <x:c r="S84" s="2"/>
      <x:c r="T84" s="2"/>
      <x:c r="U84" s="2"/>
      <x:c r="V84" s="2"/>
      <x:c r="W84" s="2"/>
      <x:c r="X84" s="2"/>
      <x:c r="Y84" s="2"/>
      <x:c r="Z84" s="2"/>
    </x:row>
    <x:row r="85">
      <x:c r="A85" s="4"/>
      <x:c r="B85" s="3" t="str">
        <x:f t="shared" si="4"/>
      </x:c>
      <x:c r="C85" s="5"/>
      <x:c r="D85" s="5" t="s">
        <x:v>289</x:v>
      </x:c>
      <x:c r="E85" s="8"/>
      <x:c r="F85" s="8"/>
      <x:c r="G85" s="9" t="str">
        <x:f t="shared" si="5"/>
      </x:c>
      <x:c r="H85" s="5"/>
      <x:c r="I85" s="5"/>
      <x:c r="J85" s="5"/>
      <x:c r="K85" s="5"/>
      <x:c r="L85" s="5"/>
      <x:c r="M85" s="2"/>
      <x:c r="N85" s="2"/>
      <x:c r="O85" s="2"/>
      <x:c r="P85" s="2"/>
      <x:c r="Q85" s="2"/>
      <x:c r="R85" s="2"/>
      <x:c r="S85" s="2"/>
      <x:c r="T85" s="2"/>
      <x:c r="U85" s="2"/>
      <x:c r="V85" s="2"/>
      <x:c r="W85" s="2"/>
      <x:c r="X85" s="2"/>
      <x:c r="Y85" s="2"/>
      <x:c r="Z85" s="2"/>
    </x:row>
    <x:row r="86">
      <x:c r="A86" s="4"/>
      <x:c r="B86" s="3" t="str">
        <x:f t="shared" si="4"/>
      </x:c>
      <x:c r="C86" s="5"/>
      <x:c r="D86" s="5" t="s">
        <x:v>289</x:v>
      </x:c>
      <x:c r="E86" s="8"/>
      <x:c r="F86" s="8"/>
      <x:c r="G86" s="9" t="str">
        <x:f t="shared" si="5"/>
      </x:c>
      <x:c r="H86" s="5"/>
      <x:c r="I86" s="5"/>
      <x:c r="J86" s="5"/>
      <x:c r="K86" s="5"/>
      <x:c r="L86" s="5"/>
      <x:c r="M86" s="2"/>
      <x:c r="N86" s="2"/>
      <x:c r="O86" s="2"/>
      <x:c r="P86" s="2"/>
      <x:c r="Q86" s="2"/>
      <x:c r="R86" s="2"/>
      <x:c r="S86" s="2"/>
      <x:c r="T86" s="2"/>
      <x:c r="U86" s="2"/>
      <x:c r="V86" s="2"/>
      <x:c r="W86" s="2"/>
      <x:c r="X86" s="2"/>
      <x:c r="Y86" s="2"/>
      <x:c r="Z86" s="2"/>
    </x:row>
    <x:row r="87">
      <x:c r="A87" s="4"/>
      <x:c r="B87" s="3" t="str">
        <x:f t="shared" si="4"/>
      </x:c>
      <x:c r="C87" s="5"/>
      <x:c r="D87" s="5" t="s">
        <x:v>289</x:v>
      </x:c>
      <x:c r="E87" s="8"/>
      <x:c r="F87" s="8"/>
      <x:c r="G87" s="9" t="str">
        <x:f t="shared" si="5"/>
      </x:c>
      <x:c r="H87" s="5"/>
      <x:c r="I87" s="5"/>
      <x:c r="J87" s="5"/>
      <x:c r="K87" s="5"/>
      <x:c r="L87" s="5"/>
      <x:c r="M87" s="2"/>
      <x:c r="N87" s="2"/>
      <x:c r="O87" s="2"/>
      <x:c r="P87" s="2"/>
      <x:c r="Q87" s="2"/>
      <x:c r="R87" s="2"/>
      <x:c r="S87" s="2"/>
      <x:c r="T87" s="2"/>
      <x:c r="U87" s="2"/>
      <x:c r="V87" s="2"/>
      <x:c r="W87" s="2"/>
      <x:c r="X87" s="2"/>
      <x:c r="Y87" s="2"/>
      <x:c r="Z87" s="2"/>
    </x:row>
    <x:row r="88">
      <x:c r="A88" s="4"/>
      <x:c r="B88" s="3" t="str">
        <x:f t="shared" si="4"/>
      </x:c>
      <x:c r="C88" s="5"/>
      <x:c r="D88" s="5" t="s">
        <x:v>289</x:v>
      </x:c>
      <x:c r="E88" s="8"/>
      <x:c r="F88" s="8"/>
      <x:c r="G88" s="9" t="str">
        <x:f t="shared" si="5"/>
      </x:c>
      <x:c r="H88" s="5"/>
      <x:c r="I88" s="5"/>
      <x:c r="J88" s="5"/>
      <x:c r="K88" s="5"/>
      <x:c r="L88" s="5"/>
      <x:c r="M88" s="2"/>
      <x:c r="N88" s="2"/>
      <x:c r="O88" s="2"/>
      <x:c r="P88" s="2"/>
      <x:c r="Q88" s="2"/>
      <x:c r="R88" s="2"/>
      <x:c r="S88" s="2"/>
      <x:c r="T88" s="2"/>
      <x:c r="U88" s="2"/>
      <x:c r="V88" s="2"/>
      <x:c r="W88" s="2"/>
      <x:c r="X88" s="2"/>
      <x:c r="Y88" s="2"/>
      <x:c r="Z88" s="2"/>
    </x:row>
    <x:row r="89">
      <x:c r="A89" s="4"/>
      <x:c r="B89" s="3" t="str">
        <x:f t="shared" si="4"/>
      </x:c>
      <x:c r="C89" s="5"/>
      <x:c r="D89" s="5" t="s">
        <x:v>289</x:v>
      </x:c>
      <x:c r="E89" s="8"/>
      <x:c r="F89" s="8"/>
      <x:c r="G89" s="9" t="str">
        <x:f t="shared" si="5"/>
      </x:c>
      <x:c r="H89" s="5"/>
      <x:c r="I89" s="5"/>
      <x:c r="J89" s="5"/>
      <x:c r="K89" s="5"/>
      <x:c r="L89" s="5"/>
      <x:c r="M89" s="2"/>
      <x:c r="N89" s="2"/>
      <x:c r="O89" s="2"/>
      <x:c r="P89" s="2"/>
      <x:c r="Q89" s="2"/>
      <x:c r="R89" s="2"/>
      <x:c r="S89" s="2"/>
      <x:c r="T89" s="2"/>
      <x:c r="U89" s="2"/>
      <x:c r="V89" s="2"/>
      <x:c r="W89" s="2"/>
      <x:c r="X89" s="2"/>
      <x:c r="Y89" s="2"/>
      <x:c r="Z89" s="2"/>
    </x:row>
    <x:row r="90">
      <x:c r="A90" s="4"/>
      <x:c r="B90" s="3" t="str">
        <x:f t="shared" si="4"/>
      </x:c>
      <x:c r="C90" s="5"/>
      <x:c r="D90" s="5" t="s">
        <x:v>289</x:v>
      </x:c>
      <x:c r="E90" s="8"/>
      <x:c r="F90" s="8"/>
      <x:c r="G90" s="9" t="str">
        <x:f t="shared" si="5"/>
      </x:c>
      <x:c r="H90" s="5"/>
      <x:c r="I90" s="5"/>
      <x:c r="J90" s="5"/>
      <x:c r="K90" s="5"/>
      <x:c r="L90" s="5"/>
      <x:c r="M90" s="2"/>
      <x:c r="N90" s="2"/>
      <x:c r="O90" s="2"/>
      <x:c r="P90" s="2"/>
      <x:c r="Q90" s="2"/>
      <x:c r="R90" s="2"/>
      <x:c r="S90" s="2"/>
      <x:c r="T90" s="2"/>
      <x:c r="U90" s="2"/>
      <x:c r="V90" s="2"/>
      <x:c r="W90" s="2"/>
      <x:c r="X90" s="2"/>
      <x:c r="Y90" s="2"/>
      <x:c r="Z90" s="2"/>
    </x:row>
    <x:row r="91">
      <x:c r="A91" s="4"/>
      <x:c r="B91" s="3" t="str">
        <x:f t="shared" si="4"/>
      </x:c>
      <x:c r="C91" s="5"/>
      <x:c r="D91" s="5" t="s">
        <x:v>289</x:v>
      </x:c>
      <x:c r="E91" s="8"/>
      <x:c r="F91" s="8"/>
      <x:c r="G91" s="9" t="str">
        <x:f t="shared" si="5"/>
      </x:c>
      <x:c r="H91" s="5"/>
      <x:c r="I91" s="5"/>
      <x:c r="J91" s="5"/>
      <x:c r="K91" s="5"/>
      <x:c r="L91" s="5"/>
      <x:c r="M91" s="2"/>
      <x:c r="N91" s="2"/>
      <x:c r="O91" s="2"/>
      <x:c r="P91" s="2"/>
      <x:c r="Q91" s="2"/>
      <x:c r="R91" s="2"/>
      <x:c r="S91" s="2"/>
      <x:c r="T91" s="2"/>
      <x:c r="U91" s="2"/>
      <x:c r="V91" s="2"/>
      <x:c r="W91" s="2"/>
      <x:c r="X91" s="2"/>
      <x:c r="Y91" s="2"/>
      <x:c r="Z91" s="2"/>
    </x:row>
    <x:row r="92">
      <x:c r="A92" s="4"/>
      <x:c r="B92" s="3" t="str">
        <x:f t="shared" si="4"/>
      </x:c>
      <x:c r="C92" s="5"/>
      <x:c r="D92" s="5" t="s">
        <x:v>289</x:v>
      </x:c>
      <x:c r="E92" s="8"/>
      <x:c r="F92" s="8"/>
      <x:c r="G92" s="9" t="str">
        <x:f t="shared" si="5"/>
      </x:c>
      <x:c r="H92" s="5"/>
      <x:c r="I92" s="5"/>
      <x:c r="J92" s="5"/>
      <x:c r="K92" s="5"/>
      <x:c r="L92" s="5"/>
      <x:c r="M92" s="2"/>
      <x:c r="N92" s="2"/>
      <x:c r="O92" s="2"/>
      <x:c r="P92" s="2"/>
      <x:c r="Q92" s="2"/>
      <x:c r="R92" s="2"/>
      <x:c r="S92" s="2"/>
      <x:c r="T92" s="2"/>
      <x:c r="U92" s="2"/>
      <x:c r="V92" s="2"/>
      <x:c r="W92" s="2"/>
      <x:c r="X92" s="2"/>
      <x:c r="Y92" s="2"/>
      <x:c r="Z92" s="2"/>
    </x:row>
    <x:row r="93">
      <x:c r="A93" s="4"/>
      <x:c r="B93" s="3" t="str">
        <x:f t="shared" si="4"/>
      </x:c>
      <x:c r="C93" s="5"/>
      <x:c r="D93" s="5" t="s">
        <x:v>289</x:v>
      </x:c>
      <x:c r="E93" s="8"/>
      <x:c r="F93" s="8"/>
      <x:c r="G93" s="9" t="str">
        <x:f t="shared" si="5"/>
      </x:c>
      <x:c r="H93" s="5"/>
      <x:c r="I93" s="5"/>
      <x:c r="J93" s="5"/>
      <x:c r="K93" s="5"/>
      <x:c r="L93" s="5"/>
      <x:c r="M93" s="2"/>
      <x:c r="N93" s="2"/>
      <x:c r="O93" s="2"/>
      <x:c r="P93" s="2"/>
      <x:c r="Q93" s="2"/>
      <x:c r="R93" s="2"/>
      <x:c r="S93" s="2"/>
      <x:c r="T93" s="2"/>
      <x:c r="U93" s="2"/>
      <x:c r="V93" s="2"/>
      <x:c r="W93" s="2"/>
      <x:c r="X93" s="2"/>
      <x:c r="Y93" s="2"/>
      <x:c r="Z93" s="2"/>
    </x:row>
    <x:row r="94">
      <x:c r="A94" s="4"/>
      <x:c r="B94" s="3" t="str">
        <x:f t="shared" si="4"/>
      </x:c>
      <x:c r="C94" s="5"/>
      <x:c r="D94" s="5" t="s">
        <x:v>289</x:v>
      </x:c>
      <x:c r="E94" s="8"/>
      <x:c r="F94" s="8"/>
      <x:c r="G94" s="9" t="str">
        <x:f t="shared" si="5"/>
      </x:c>
      <x:c r="H94" s="5"/>
      <x:c r="I94" s="5"/>
      <x:c r="J94" s="5"/>
      <x:c r="K94" s="5"/>
      <x:c r="L94" s="5"/>
      <x:c r="M94" s="2"/>
      <x:c r="N94" s="2"/>
      <x:c r="O94" s="2"/>
      <x:c r="P94" s="2"/>
      <x:c r="Q94" s="2"/>
      <x:c r="R94" s="2"/>
      <x:c r="S94" s="2"/>
      <x:c r="T94" s="2"/>
      <x:c r="U94" s="2"/>
      <x:c r="V94" s="2"/>
      <x:c r="W94" s="2"/>
      <x:c r="X94" s="2"/>
      <x:c r="Y94" s="2"/>
      <x:c r="Z94" s="2"/>
    </x:row>
    <x:row r="95">
      <x:c r="A95" s="4"/>
      <x:c r="B95" s="3" t="str">
        <x:f t="shared" si="4"/>
      </x:c>
      <x:c r="C95" s="5"/>
      <x:c r="D95" s="5" t="s">
        <x:v>289</x:v>
      </x:c>
      <x:c r="E95" s="8"/>
      <x:c r="F95" s="8"/>
      <x:c r="G95" s="9" t="str">
        <x:f t="shared" si="5"/>
      </x:c>
      <x:c r="H95" s="5"/>
      <x:c r="I95" s="5"/>
      <x:c r="J95" s="5"/>
      <x:c r="K95" s="5"/>
      <x:c r="L95" s="5"/>
      <x:c r="M95" s="2"/>
      <x:c r="N95" s="2"/>
      <x:c r="O95" s="2"/>
      <x:c r="P95" s="2"/>
      <x:c r="Q95" s="2"/>
      <x:c r="R95" s="2"/>
      <x:c r="S95" s="2"/>
      <x:c r="T95" s="2"/>
      <x:c r="U95" s="2"/>
      <x:c r="V95" s="2"/>
      <x:c r="W95" s="2"/>
      <x:c r="X95" s="2"/>
      <x:c r="Y95" s="2"/>
      <x:c r="Z95" s="2"/>
    </x:row>
    <x:row r="96">
      <x:c r="A96" s="4"/>
      <x:c r="B96" s="3" t="str">
        <x:f t="shared" si="4"/>
      </x:c>
      <x:c r="C96" s="5"/>
      <x:c r="D96" s="5" t="s">
        <x:v>289</x:v>
      </x:c>
      <x:c r="E96" s="8"/>
      <x:c r="F96" s="8"/>
      <x:c r="G96" s="9" t="str">
        <x:f t="shared" si="5"/>
      </x:c>
      <x:c r="H96" s="5"/>
      <x:c r="I96" s="5"/>
      <x:c r="J96" s="5"/>
      <x:c r="K96" s="5"/>
      <x:c r="L96" s="5"/>
      <x:c r="M96" s="2"/>
      <x:c r="N96" s="2"/>
      <x:c r="O96" s="2"/>
      <x:c r="P96" s="2"/>
      <x:c r="Q96" s="2"/>
      <x:c r="R96" s="2"/>
      <x:c r="S96" s="2"/>
      <x:c r="T96" s="2"/>
      <x:c r="U96" s="2"/>
      <x:c r="V96" s="2"/>
      <x:c r="W96" s="2"/>
      <x:c r="X96" s="2"/>
      <x:c r="Y96" s="2"/>
      <x:c r="Z96" s="2"/>
    </x:row>
    <x:row r="97">
      <x:c r="A97" s="4"/>
      <x:c r="B97" s="3" t="str">
        <x:f t="shared" si="4"/>
      </x:c>
      <x:c r="C97" s="5"/>
      <x:c r="D97" s="5" t="s">
        <x:v>289</x:v>
      </x:c>
      <x:c r="E97" s="8"/>
      <x:c r="F97" s="8"/>
      <x:c r="G97" s="9" t="str">
        <x:f t="shared" si="5"/>
      </x:c>
      <x:c r="H97" s="5"/>
      <x:c r="I97" s="5"/>
      <x:c r="J97" s="5"/>
      <x:c r="K97" s="5"/>
      <x:c r="L97" s="5"/>
      <x:c r="M97" s="2"/>
      <x:c r="N97" s="2"/>
      <x:c r="O97" s="2"/>
      <x:c r="P97" s="2"/>
      <x:c r="Q97" s="2"/>
      <x:c r="R97" s="2"/>
      <x:c r="S97" s="2"/>
      <x:c r="T97" s="2"/>
      <x:c r="U97" s="2"/>
      <x:c r="V97" s="2"/>
      <x:c r="W97" s="2"/>
      <x:c r="X97" s="2"/>
      <x:c r="Y97" s="2"/>
      <x:c r="Z97" s="2"/>
    </x:row>
    <x:row r="98">
      <x:c r="A98" s="4"/>
      <x:c r="B98" s="3" t="str">
        <x:f t="shared" si="4"/>
      </x:c>
      <x:c r="C98" s="5"/>
      <x:c r="D98" s="5" t="s">
        <x:v>289</x:v>
      </x:c>
      <x:c r="E98" s="8"/>
      <x:c r="F98" s="8"/>
      <x:c r="G98" s="9" t="str">
        <x:f t="shared" si="5"/>
      </x:c>
      <x:c r="H98" s="5"/>
      <x:c r="I98" s="5"/>
      <x:c r="J98" s="5"/>
      <x:c r="K98" s="5"/>
      <x:c r="L98" s="5"/>
      <x:c r="M98" s="2"/>
      <x:c r="N98" s="2"/>
      <x:c r="O98" s="2"/>
      <x:c r="P98" s="2"/>
      <x:c r="Q98" s="2"/>
      <x:c r="R98" s="2"/>
      <x:c r="S98" s="2"/>
      <x:c r="T98" s="2"/>
      <x:c r="U98" s="2"/>
      <x:c r="V98" s="2"/>
      <x:c r="W98" s="2"/>
      <x:c r="X98" s="2"/>
      <x:c r="Y98" s="2"/>
      <x:c r="Z98" s="2"/>
    </x:row>
    <x:row r="99">
      <x:c r="A99" s="4"/>
      <x:c r="B99" s="3" t="str">
        <x:f t="shared" si="4"/>
      </x:c>
      <x:c r="C99" s="5"/>
      <x:c r="D99" s="5" t="s">
        <x:v>289</x:v>
      </x:c>
      <x:c r="E99" s="8"/>
      <x:c r="F99" s="8"/>
      <x:c r="G99" s="9" t="str">
        <x:f t="shared" si="5"/>
      </x:c>
      <x:c r="H99" s="5"/>
      <x:c r="I99" s="5"/>
      <x:c r="J99" s="5"/>
      <x:c r="K99" s="5"/>
      <x:c r="L99" s="5"/>
      <x:c r="M99" s="2"/>
      <x:c r="N99" s="2"/>
      <x:c r="O99" s="2"/>
      <x:c r="P99" s="2"/>
      <x:c r="Q99" s="2"/>
      <x:c r="R99" s="2"/>
      <x:c r="S99" s="2"/>
      <x:c r="T99" s="2"/>
      <x:c r="U99" s="2"/>
      <x:c r="V99" s="2"/>
      <x:c r="W99" s="2"/>
      <x:c r="X99" s="2"/>
      <x:c r="Y99" s="2"/>
      <x:c r="Z99" s="2"/>
    </x:row>
    <x:row r="100">
      <x:c r="A100" s="4"/>
      <x:c r="B100" s="3" t="str">
        <x:f t="shared" si="4"/>
      </x:c>
      <x:c r="C100" s="5"/>
      <x:c r="D100" s="5" t="s">
        <x:v>289</x:v>
      </x:c>
      <x:c r="E100" s="8"/>
      <x:c r="F100" s="8"/>
      <x:c r="G100" s="9" t="str">
        <x:f t="shared" si="5"/>
      </x:c>
      <x:c r="H100" s="5"/>
      <x:c r="I100" s="5"/>
      <x:c r="J100" s="5"/>
      <x:c r="K100" s="5"/>
      <x:c r="L100" s="5"/>
      <x:c r="M100" s="2"/>
      <x:c r="N100" s="2"/>
      <x:c r="O100" s="2"/>
      <x:c r="P100" s="2"/>
      <x:c r="Q100" s="2"/>
      <x:c r="R100" s="2"/>
      <x:c r="S100" s="2"/>
      <x:c r="T100" s="2"/>
      <x:c r="U100" s="2"/>
      <x:c r="V100" s="2"/>
      <x:c r="W100" s="2"/>
      <x:c r="X100" s="2"/>
      <x:c r="Y100" s="2"/>
      <x:c r="Z100" s="2"/>
    </x:row>
    <x:row r="101">
      <x:c r="A101" s="4"/>
      <x:c r="B101" s="3" t="str">
        <x:f t="shared" si="4"/>
      </x:c>
      <x:c r="C101" s="5"/>
      <x:c r="D101" s="5" t="s">
        <x:v>289</x:v>
      </x:c>
      <x:c r="E101" s="8"/>
      <x:c r="F101" s="8"/>
      <x:c r="G101" s="9" t="str">
        <x:f t="shared" si="5"/>
      </x:c>
      <x:c r="H101" s="5"/>
      <x:c r="I101" s="5"/>
      <x:c r="J101" s="5"/>
      <x:c r="K101" s="5"/>
      <x:c r="L101" s="5"/>
      <x:c r="M101" s="2"/>
      <x:c r="N101" s="2"/>
      <x:c r="O101" s="2"/>
      <x:c r="P101" s="2"/>
      <x:c r="Q101" s="2"/>
      <x:c r="R101" s="2"/>
      <x:c r="S101" s="2"/>
      <x:c r="T101" s="2"/>
      <x:c r="U101" s="2"/>
      <x:c r="V101" s="2"/>
      <x:c r="W101" s="2"/>
      <x:c r="X101" s="2"/>
      <x:c r="Y101" s="2"/>
      <x:c r="Z101" s="2"/>
    </x:row>
    <x:row r="102">
      <x:c r="A102" s="4"/>
      <x:c r="B102" s="3" t="str">
        <x:f t="shared" ref="B102:B105" si="6">IF(A102="","",TEXT(A102,"dddd"))</x:f>
      </x:c>
      <x:c r="C102" s="5"/>
      <x:c r="D102" s="5" t="s">
        <x:v>289</x:v>
      </x:c>
      <x:c r="E102" s="8"/>
      <x:c r="F102" s="8"/>
      <x:c r="G102" s="9" t="str">
        <x:f t="shared" ref="G102:G105" si="7">IF(OR(E102="",F102=""),"",E102*F102)</x:f>
      </x:c>
      <x:c r="H102" s="5"/>
      <x:c r="I102" s="5"/>
      <x:c r="J102" s="5"/>
      <x:c r="K102" s="5"/>
      <x:c r="L102" s="5"/>
      <x:c r="M102" s="2"/>
      <x:c r="N102" s="2"/>
      <x:c r="O102" s="2"/>
      <x:c r="P102" s="2"/>
      <x:c r="Q102" s="2"/>
      <x:c r="R102" s="2"/>
      <x:c r="S102" s="2"/>
      <x:c r="T102" s="2"/>
      <x:c r="U102" s="2"/>
      <x:c r="V102" s="2"/>
      <x:c r="W102" s="2"/>
      <x:c r="X102" s="2"/>
      <x:c r="Y102" s="2"/>
      <x:c r="Z102" s="2"/>
    </x:row>
    <x:row r="103">
      <x:c r="A103" s="4"/>
      <x:c r="B103" s="3" t="str">
        <x:f t="shared" si="6"/>
      </x:c>
      <x:c r="C103" s="5"/>
      <x:c r="D103" s="5" t="s">
        <x:v>289</x:v>
      </x:c>
      <x:c r="E103" s="8"/>
      <x:c r="F103" s="8"/>
      <x:c r="G103" s="9" t="str">
        <x:f t="shared" si="7"/>
      </x:c>
      <x:c r="H103" s="5"/>
      <x:c r="I103" s="5"/>
      <x:c r="J103" s="5"/>
      <x:c r="K103" s="5"/>
      <x:c r="L103" s="5"/>
      <x:c r="M103" s="2"/>
      <x:c r="N103" s="2"/>
      <x:c r="O103" s="2"/>
      <x:c r="P103" s="2"/>
      <x:c r="Q103" s="2"/>
      <x:c r="R103" s="2"/>
      <x:c r="S103" s="2"/>
      <x:c r="T103" s="2"/>
      <x:c r="U103" s="2"/>
      <x:c r="V103" s="2"/>
      <x:c r="W103" s="2"/>
      <x:c r="X103" s="2"/>
      <x:c r="Y103" s="2"/>
      <x:c r="Z103" s="2"/>
    </x:row>
    <x:row r="104">
      <x:c r="A104" s="4"/>
      <x:c r="B104" s="3" t="str">
        <x:f t="shared" si="6"/>
      </x:c>
      <x:c r="C104" s="5"/>
      <x:c r="D104" s="5" t="s">
        <x:v>289</x:v>
      </x:c>
      <x:c r="E104" s="8"/>
      <x:c r="F104" s="8"/>
      <x:c r="G104" s="9" t="str">
        <x:f t="shared" si="7"/>
      </x:c>
      <x:c r="H104" s="5"/>
      <x:c r="I104" s="5"/>
      <x:c r="J104" s="5"/>
      <x:c r="K104" s="5"/>
      <x:c r="L104" s="5"/>
      <x:c r="M104" s="2"/>
      <x:c r="N104" s="2"/>
      <x:c r="O104" s="2"/>
      <x:c r="P104" s="2"/>
      <x:c r="Q104" s="2"/>
      <x:c r="R104" s="2"/>
      <x:c r="S104" s="2"/>
      <x:c r="T104" s="2"/>
      <x:c r="U104" s="2"/>
      <x:c r="V104" s="2"/>
      <x:c r="W104" s="2"/>
      <x:c r="X104" s="2"/>
      <x:c r="Y104" s="2"/>
      <x:c r="Z104" s="2"/>
    </x:row>
    <x:row r="105">
      <x:c r="A105" s="4"/>
      <x:c r="B105" s="3" t="str">
        <x:f t="shared" si="6"/>
      </x:c>
      <x:c r="C105" s="5"/>
      <x:c r="D105" s="5" t="s">
        <x:v>289</x:v>
      </x:c>
      <x:c r="E105" s="8"/>
      <x:c r="F105" s="8"/>
      <x:c r="G105" s="9" t="str">
        <x:f t="shared" si="7"/>
      </x:c>
      <x:c r="H105" s="5"/>
      <x:c r="I105" s="5"/>
      <x:c r="J105" s="5"/>
      <x:c r="K105" s="5"/>
      <x:c r="L105" s="5"/>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1:L1"/>
    <x:mergeCell ref="A2:L3"/>
  </x:mergeCells>
  <x:conditionalFormatting sqref="F6:F105">
    <x:cfRule type="cellIs" dxfId="3" priority="2" operator="greaterThan">
      <x:formula>7</x:formula>
    </x:cfRule>
  </x:conditionalFormatting>
  <x:conditionalFormatting sqref="G6:G105">
    <x:cfRule type="dataBar" priority="1">
      <x:dataBar>
        <x:cfvo type="min"/>
        <x:cfvo type="max"/>
        <x:color rgb="FF1D4ED8"/>
      </x:dataBar>
    </x:cfRule>
    <x:cfRule type="dataBar" priority="6">
      <x:dataBar>
        <x:cfvo type="min"/>
        <x:cfvo type="max"/>
        <x:color rgb="FF1D4ED8"/>
      </x:dataBar>
      <x:extLst>
        <x:ext xmlns:x14="http://schemas.microsoft.com/office/spreadsheetml/2009/9/main" uri="{B025F937-C7B1-47D3-B67F-A62EFF666E3E}">
          <x14:id>{79A9E7BA-CDAD-BB3E-62E7-7BB760775719}</x14:id>
        </x:ext>
      </x:extLst>
    </x:cfRule>
  </x:conditionalFormatting>
  <x:conditionalFormatting sqref="H6:H105">
    <x:cfRule type="expression" dxfId="2" priority="3">
      <x:formula>H6="Red"</x:formula>
    </x:cfRule>
    <x:cfRule type="expression" dxfId="1" priority="4">
      <x:formula>H6="Yellow"</x:formula>
    </x:cfRule>
    <x:cfRule type="expression" dxfId="0" priority="5">
      <x:formula>H6="Green"</x:formula>
    </x:cfRule>
  </x:conditionalFormatting>
  <x:pageMargins left="0.7" right="0.7" top="0.75" bottom="0.75" header="0.3" footer="0.3"/>
  <x:tableParts count="1">
    <x:tablePart xmlns:r="http://schemas.openxmlformats.org/officeDocument/2006/relationships" r:id="R29d397908c2b4807"/>
  </x:tableParts>
  <x:extLst>
    <x:ext xmlns:x14="http://schemas.microsoft.com/office/spreadsheetml/2009/9/main" xmlns:xm="http://schemas.microsoft.com/office/excel/2006/main" uri="{78C0D931-6437-407d-A8EE-F0AAD7539E65}">
      <x14:conditionalFormattings>
        <x14:conditionalFormatting>
          <x14:cfRule type="dataBar" priority="6" id="{79A9E7BA-CDAD-BB3E-62E7-7BB760775719}">
            <x14:dataBar>
              <x14:cfvo type="min"/>
              <x14:cfvo type="max"/>
              <x14:fillColor rgb="FF1D4ED8"/>
              <x14:negativeFillColor auto="1"/>
              <x14:axisColor auto="1"/>
            </x14:dataBar>
          </x14:cfRule>
          <xm:sqref>G6:G105</xm:sqref>
        </x14:conditionalFormatting>
      </x14:conditionalFormattings>
    </x:ext>
  </x:extLst>
</x:worksheet>
</file>

<file path=xl/worksheets/sheet9.xml><?xml version="1.0" encoding="utf-8"?>
<x:worksheet xmlns:x="http://schemas.openxmlformats.org/spreadsheetml/2006/main">
  <x:sheetFormatPr defaultRowHeight="14.25"/>
  <x:cols>
    <x:col min="1" max="1" width="24" customWidth="1"/>
    <x:col min="2" max="2" width="58" customWidth="1"/>
    <x:col min="3" max="3" width="28" customWidth="1"/>
    <x:col min="4" max="4" width="90" customWidth="1"/>
  </x:cols>
  <x:sheetData>
    <x:row r="1" ht="30" customHeight="1">
      <x:c r="A1" s="13" t="s">
        <x:v>290</x:v>
      </x:c>
      <x:c r="B1" s="13"/>
      <x:c r="C1" s="13"/>
      <x:c r="D1" s="13"/>
      <x:c r="E1" s="2"/>
      <x:c r="F1" s="2"/>
      <x:c r="G1" s="2"/>
      <x:c r="H1" s="2"/>
      <x:c r="I1" s="2"/>
      <x:c r="J1" s="2"/>
      <x:c r="K1" s="2"/>
      <x:c r="L1" s="2"/>
      <x:c r="M1" s="2"/>
      <x:c r="N1" s="2"/>
      <x:c r="O1" s="2"/>
      <x:c r="P1" s="2"/>
      <x:c r="Q1" s="2"/>
      <x:c r="R1" s="2"/>
      <x:c r="S1" s="2"/>
      <x:c r="T1" s="2"/>
      <x:c r="U1" s="2"/>
      <x:c r="V1" s="2"/>
      <x:c r="W1" s="2"/>
      <x:c r="X1" s="2"/>
      <x:c r="Y1" s="2"/>
      <x:c r="Z1" s="2"/>
    </x:row>
    <x:row r="2">
      <x:c r="A2" s="2"/>
      <x:c r="B2" s="2"/>
      <x:c r="C2" s="2"/>
      <x:c r="D2" s="2"/>
      <x:c r="E2" s="2"/>
      <x:c r="F2" s="2"/>
      <x:c r="G2" s="2"/>
      <x:c r="H2" s="2"/>
      <x:c r="I2" s="2"/>
      <x:c r="J2" s="2"/>
      <x:c r="K2" s="2"/>
      <x:c r="L2" s="2"/>
      <x:c r="M2" s="2"/>
      <x:c r="N2" s="2"/>
      <x:c r="O2" s="2"/>
      <x:c r="P2" s="2"/>
      <x:c r="Q2" s="2"/>
      <x:c r="R2" s="2"/>
      <x:c r="S2" s="2"/>
      <x:c r="T2" s="2"/>
      <x:c r="U2" s="2"/>
      <x:c r="V2" s="2"/>
      <x:c r="W2" s="2"/>
      <x:c r="X2" s="2"/>
      <x:c r="Y2" s="2"/>
      <x:c r="Z2" s="2"/>
    </x:row>
    <x:row r="3" ht="15">
      <x:c r="A3" s="1" t="s">
        <x:v>291</x:v>
      </x:c>
      <x:c r="B3" s="1" t="s">
        <x:v>292</x:v>
      </x:c>
      <x:c r="C3" s="1" t="s">
        <x:v>293</x:v>
      </x:c>
      <x:c r="D3" s="1" t="s">
        <x:v>294</x:v>
      </x:c>
      <x:c r="E3" s="2"/>
      <x:c r="F3" s="2"/>
      <x:c r="G3" s="2"/>
      <x:c r="H3" s="2"/>
      <x:c r="I3" s="2"/>
      <x:c r="J3" s="2"/>
      <x:c r="K3" s="2"/>
      <x:c r="L3" s="2"/>
      <x:c r="M3" s="2"/>
      <x:c r="N3" s="2"/>
      <x:c r="O3" s="2"/>
      <x:c r="P3" s="2"/>
      <x:c r="Q3" s="2"/>
      <x:c r="R3" s="2"/>
      <x:c r="S3" s="2"/>
      <x:c r="T3" s="2"/>
      <x:c r="U3" s="2"/>
      <x:c r="V3" s="2"/>
      <x:c r="W3" s="2"/>
      <x:c r="X3" s="2"/>
      <x:c r="Y3" s="2"/>
      <x:c r="Z3" s="2"/>
    </x:row>
    <x:row r="4" ht="28.5">
      <x:c r="A4" s="2" t="s">
        <x:v>295</x:v>
      </x:c>
      <x:c r="B4" s="2" t="s">
        <x:v>296</x:v>
      </x:c>
      <x:c r="C4" s="2" t="s">
        <x:v>297</x:v>
      </x:c>
      <x:c r="D4" s="16" t="s">
        <x:v>298</x:v>
      </x:c>
      <x:c r="E4" s="2"/>
      <x:c r="F4" s="2"/>
      <x:c r="G4" s="2"/>
      <x:c r="H4" s="2"/>
      <x:c r="I4" s="2"/>
      <x:c r="J4" s="2"/>
      <x:c r="K4" s="2"/>
      <x:c r="L4" s="2"/>
      <x:c r="M4" s="2"/>
      <x:c r="N4" s="2"/>
      <x:c r="O4" s="2"/>
      <x:c r="P4" s="2"/>
      <x:c r="Q4" s="2"/>
      <x:c r="R4" s="2"/>
      <x:c r="S4" s="2"/>
      <x:c r="T4" s="2"/>
      <x:c r="U4" s="2"/>
      <x:c r="V4" s="2"/>
      <x:c r="W4" s="2"/>
      <x:c r="X4" s="2"/>
      <x:c r="Y4" s="2"/>
      <x:c r="Z4" s="2"/>
    </x:row>
    <x:row r="5" ht="28.5">
      <x:c r="A5" s="2" t="s">
        <x:v>299</x:v>
      </x:c>
      <x:c r="B5" s="2" t="s">
        <x:v>300</x:v>
      </x:c>
      <x:c r="C5" s="2" t="s">
        <x:v>301</x:v>
      </x:c>
      <x:c r="D5" s="16" t="s">
        <x:v>302</x:v>
      </x:c>
      <x:c r="E5" s="2"/>
      <x:c r="F5" s="2"/>
      <x:c r="G5" s="2"/>
      <x:c r="H5" s="2"/>
      <x:c r="I5" s="2"/>
      <x:c r="J5" s="2"/>
      <x:c r="K5" s="2"/>
      <x:c r="L5" s="2"/>
      <x:c r="M5" s="2"/>
      <x:c r="N5" s="2"/>
      <x:c r="O5" s="2"/>
      <x:c r="P5" s="2"/>
      <x:c r="Q5" s="2"/>
      <x:c r="R5" s="2"/>
      <x:c r="S5" s="2"/>
      <x:c r="T5" s="2"/>
      <x:c r="U5" s="2"/>
      <x:c r="V5" s="2"/>
      <x:c r="W5" s="2"/>
      <x:c r="X5" s="2"/>
      <x:c r="Y5" s="2"/>
      <x:c r="Z5" s="2"/>
    </x:row>
    <x:row r="6" ht="28.5">
      <x:c r="A6" s="2" t="s">
        <x:v>303</x:v>
      </x:c>
      <x:c r="B6" s="2" t="s">
        <x:v>304</x:v>
      </x:c>
      <x:c r="C6" s="2" t="s">
        <x:v>301</x:v>
      </x:c>
      <x:c r="D6" s="2" t="s">
        <x:v>305</x:v>
      </x:c>
      <x:c r="E6" s="2"/>
      <x:c r="F6" s="2"/>
      <x:c r="G6" s="2"/>
      <x:c r="H6" s="2"/>
      <x:c r="I6" s="2"/>
      <x:c r="J6" s="2"/>
      <x:c r="K6" s="2"/>
      <x:c r="L6" s="2"/>
      <x:c r="M6" s="2"/>
      <x:c r="N6" s="2"/>
      <x:c r="O6" s="2"/>
      <x:c r="P6" s="2"/>
      <x:c r="Q6" s="2"/>
      <x:c r="R6" s="2"/>
      <x:c r="S6" s="2"/>
      <x:c r="T6" s="2"/>
      <x:c r="U6" s="2"/>
      <x:c r="V6" s="2"/>
      <x:c r="W6" s="2"/>
      <x:c r="X6" s="2"/>
      <x:c r="Y6" s="2"/>
      <x:c r="Z6" s="2"/>
    </x:row>
    <x:row r="7" ht="28.5">
      <x:c r="A7" s="2" t="s">
        <x:v>306</x:v>
      </x:c>
      <x:c r="B7" s="2" t="s">
        <x:v>307</x:v>
      </x:c>
      <x:c r="C7" s="2" t="s">
        <x:v>308</x:v>
      </x:c>
      <x:c r="D7" s="2" t="s">
        <x:v>309</x:v>
      </x:c>
      <x:c r="E7" s="2"/>
      <x:c r="F7" s="2"/>
      <x:c r="G7" s="2"/>
      <x:c r="H7" s="2"/>
      <x:c r="I7" s="2"/>
      <x:c r="J7" s="2"/>
      <x:c r="K7" s="2"/>
      <x:c r="L7" s="2"/>
      <x:c r="M7" s="2"/>
      <x:c r="N7" s="2"/>
      <x:c r="O7" s="2"/>
      <x:c r="P7" s="2"/>
      <x:c r="Q7" s="2"/>
      <x:c r="R7" s="2"/>
      <x:c r="S7" s="2"/>
      <x:c r="T7" s="2"/>
      <x:c r="U7" s="2"/>
      <x:c r="V7" s="2"/>
      <x:c r="W7" s="2"/>
      <x:c r="X7" s="2"/>
      <x:c r="Y7" s="2"/>
      <x:c r="Z7" s="2"/>
    </x:row>
    <x:row r="8" ht="28.5">
      <x:c r="A8" s="2" t="s">
        <x:v>310</x:v>
      </x:c>
      <x:c r="B8" s="2" t="s">
        <x:v>311</x:v>
      </x:c>
      <x:c r="C8" s="2" t="s">
        <x:v>312</x:v>
      </x:c>
      <x:c r="D8" s="2" t="s">
        <x:v>313</x:v>
      </x:c>
      <x:c r="E8" s="2"/>
      <x:c r="F8" s="2"/>
      <x:c r="G8" s="2"/>
      <x:c r="H8" s="2"/>
      <x:c r="I8" s="2"/>
      <x:c r="J8" s="2"/>
      <x:c r="K8" s="2"/>
      <x:c r="L8" s="2"/>
      <x:c r="M8" s="2"/>
      <x:c r="N8" s="2"/>
      <x:c r="O8" s="2"/>
      <x:c r="P8" s="2"/>
      <x:c r="Q8" s="2"/>
      <x:c r="R8" s="2"/>
      <x:c r="S8" s="2"/>
      <x:c r="T8" s="2"/>
      <x:c r="U8" s="2"/>
      <x:c r="V8" s="2"/>
      <x:c r="W8" s="2"/>
      <x:c r="X8" s="2"/>
      <x:c r="Y8" s="2"/>
      <x:c r="Z8" s="2"/>
    </x:row>
    <x:row r="9">
      <x:c r="A9" s="2"/>
      <x:c r="B9" s="2"/>
      <x:c r="C9" s="2"/>
      <x:c r="D9" s="2"/>
      <x:c r="E9" s="2"/>
      <x:c r="F9" s="2"/>
      <x:c r="G9" s="2"/>
      <x:c r="H9" s="2"/>
      <x:c r="I9" s="2"/>
      <x:c r="J9" s="2"/>
      <x:c r="K9" s="2"/>
      <x:c r="L9" s="2"/>
      <x:c r="M9" s="2"/>
      <x:c r="N9" s="2"/>
      <x:c r="O9" s="2"/>
      <x:c r="P9" s="2"/>
      <x:c r="Q9" s="2"/>
      <x:c r="R9" s="2"/>
      <x:c r="S9" s="2"/>
      <x:c r="T9" s="2"/>
      <x:c r="U9" s="2"/>
      <x:c r="V9" s="2"/>
      <x:c r="W9" s="2"/>
      <x:c r="X9" s="2"/>
      <x:c r="Y9" s="2"/>
      <x:c r="Z9" s="2"/>
    </x:row>
    <x:row r="10">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mergeCells>
    <x:mergeCell ref="A1:D1"/>
  </x:mergeCells>
  <x:hyperlinks>
    <x:hyperlink xmlns:r="http://schemas.openxmlformats.org/officeDocument/2006/relationships" ref="D4" r:id="R6c7b45ac246a48e5"/>
    <x:hyperlink xmlns:r="http://schemas.openxmlformats.org/officeDocument/2006/relationships" ref="D5" r:id="Rfd2cfd306ad046ca"/>
  </x:hyperlinks>
  <x:pageMargins left="0.7" right="0.7" top="0.75" bottom="0.75" header="0.3" footer="0.3"/>
  <x:tableParts count="1">
    <x:tablePart xmlns:r="http://schemas.openxmlformats.org/officeDocument/2006/relationships" r:id="R8121d235eb6d4325"/>
  </x:tableParts>
</x:worksheet>
</file>

<file path=xl/worksheets/sheet10.xml><?xml version="1.0" encoding="utf-8"?>
<x:worksheet xmlns:x="http://schemas.openxmlformats.org/spreadsheetml/2006/main">
  <x:sheetFormatPr defaultRowHeight="14.25"/>
  <x:cols>
    <x:col min="1" max="1" width="22" customWidth="1"/>
    <x:col min="2" max="2" width="12" customWidth="1"/>
    <x:col min="3" max="3" width="13" customWidth="1"/>
    <x:col min="4" max="5" width="12" customWidth="1"/>
  </x:cols>
  <x:sheetData>
    <x:row r="1" ht="15">
      <x:c r="A1" s="1" t="s">
        <x:v>71</x:v>
      </x:c>
      <x:c r="B1" s="1" t="s">
        <x:v>75</x:v>
      </x:c>
      <x:c r="C1" s="1" t="s">
        <x:v>77</x:v>
      </x:c>
      <x:c r="D1" s="1" t="s">
        <x:v>15</x:v>
      </x:c>
      <x:c r="E1" s="1" t="s">
        <x:v>284</x:v>
      </x:c>
      <x:c r="F1" s="2"/>
      <x:c r="G1" s="2"/>
      <x:c r="H1" s="2"/>
      <x:c r="I1" s="2"/>
      <x:c r="J1" s="2"/>
      <x:c r="K1" s="2"/>
      <x:c r="L1" s="2"/>
      <x:c r="M1" s="2"/>
      <x:c r="N1" s="2"/>
      <x:c r="O1" s="2"/>
      <x:c r="P1" s="2"/>
      <x:c r="Q1" s="2"/>
      <x:c r="R1" s="2"/>
      <x:c r="S1" s="2"/>
      <x:c r="T1" s="2"/>
      <x:c r="U1" s="2"/>
      <x:c r="V1" s="2"/>
      <x:c r="W1" s="2"/>
      <x:c r="X1" s="2"/>
      <x:c r="Y1" s="2"/>
      <x:c r="Z1" s="2"/>
    </x:row>
    <x:row r="2">
      <x:c r="A2" s="2" t="str">
        <x:v>Total Futball IQ</x:v>
      </x:c>
      <x:c r="B2" s="2" t="s">
        <x:v>118</x:v>
      </x:c>
      <x:c r="C2" s="2" t="s">
        <x:v>103</x:v>
      </x:c>
      <x:c r="D2" s="2" t="s">
        <x:v>289</x:v>
      </x:c>
      <x:c r="E2" s="2" t="s">
        <x:v>314</x:v>
      </x:c>
      <x:c r="F2" s="2"/>
      <x:c r="G2" s="2"/>
      <x:c r="H2" s="2"/>
      <x:c r="I2" s="2"/>
      <x:c r="J2" s="2"/>
      <x:c r="K2" s="2"/>
      <x:c r="L2" s="2"/>
      <x:c r="M2" s="2"/>
      <x:c r="N2" s="2"/>
      <x:c r="O2" s="2"/>
      <x:c r="P2" s="2"/>
      <x:c r="Q2" s="2"/>
      <x:c r="R2" s="2"/>
      <x:c r="S2" s="2"/>
      <x:c r="T2" s="2"/>
      <x:c r="U2" s="2"/>
      <x:c r="V2" s="2"/>
      <x:c r="W2" s="2"/>
      <x:c r="X2" s="2"/>
      <x:c r="Y2" s="2"/>
      <x:c r="Z2" s="2"/>
    </x:row>
    <x:row r="3">
      <x:c r="A3" s="2" t="s">
        <x:v>94</x:v>
      </x:c>
      <x:c r="B3" s="2" t="s">
        <x:v>101</x:v>
      </x:c>
      <x:c r="C3" s="2" t="s">
        <x:v>96</x:v>
      </x:c>
      <x:c r="D3" s="2" t="s">
        <x:v>315</x:v>
      </x:c>
      <x:c r="E3" s="2" t="s">
        <x:v>316</x:v>
      </x:c>
      <x:c r="F3" s="2"/>
      <x:c r="G3" s="2"/>
      <x:c r="H3" s="2"/>
      <x:c r="I3" s="2"/>
      <x:c r="J3" s="2"/>
      <x:c r="K3" s="2"/>
      <x:c r="L3" s="2"/>
      <x:c r="M3" s="2"/>
      <x:c r="N3" s="2"/>
      <x:c r="O3" s="2"/>
      <x:c r="P3" s="2"/>
      <x:c r="Q3" s="2"/>
      <x:c r="R3" s="2"/>
      <x:c r="S3" s="2"/>
      <x:c r="T3" s="2"/>
      <x:c r="U3" s="2"/>
      <x:c r="V3" s="2"/>
      <x:c r="W3" s="2"/>
      <x:c r="X3" s="2"/>
      <x:c r="Y3" s="2"/>
      <x:c r="Z3" s="2"/>
    </x:row>
    <x:row r="4">
      <x:c r="A4" s="2" t="s">
        <x:v>107</x:v>
      </x:c>
      <x:c r="B4" s="2" t="s">
        <x:v>81</x:v>
      </x:c>
      <x:c r="C4" s="2" t="s">
        <x:v>90</x:v>
      </x:c>
      <x:c r="D4" s="2" t="s">
        <x:v>317</x:v>
      </x:c>
      <x:c r="E4" s="2" t="s">
        <x:v>318</x:v>
      </x:c>
      <x:c r="F4" s="2"/>
      <x:c r="G4" s="2"/>
      <x:c r="H4" s="2"/>
      <x:c r="I4" s="2"/>
      <x:c r="J4" s="2"/>
      <x:c r="K4" s="2"/>
      <x:c r="L4" s="2"/>
      <x:c r="M4" s="2"/>
      <x:c r="N4" s="2"/>
      <x:c r="O4" s="2"/>
      <x:c r="P4" s="2"/>
      <x:c r="Q4" s="2"/>
      <x:c r="R4" s="2"/>
      <x:c r="S4" s="2"/>
      <x:c r="T4" s="2"/>
      <x:c r="U4" s="2"/>
      <x:c r="V4" s="2"/>
      <x:c r="W4" s="2"/>
      <x:c r="X4" s="2"/>
      <x:c r="Y4" s="2"/>
      <x:c r="Z4" s="2"/>
    </x:row>
    <x:row r="5">
      <x:c r="A5" s="2" t="s">
        <x:v>100</x:v>
      </x:c>
      <x:c r="B5" s="2" t="s">
        <x:v>88</x:v>
      </x:c>
      <x:c r="C5" s="2" t="s">
        <x:v>83</x:v>
      </x:c>
      <x:c r="D5" s="2" t="s">
        <x:v>319</x:v>
      </x:c>
      <x:c r="E5" s="2"/>
      <x:c r="F5" s="2"/>
      <x:c r="G5" s="2"/>
      <x:c r="H5" s="2"/>
      <x:c r="I5" s="2"/>
      <x:c r="J5" s="2"/>
      <x:c r="K5" s="2"/>
      <x:c r="L5" s="2"/>
      <x:c r="M5" s="2"/>
      <x:c r="N5" s="2"/>
      <x:c r="O5" s="2"/>
      <x:c r="P5" s="2"/>
      <x:c r="Q5" s="2"/>
      <x:c r="R5" s="2"/>
      <x:c r="S5" s="2"/>
      <x:c r="T5" s="2"/>
      <x:c r="U5" s="2"/>
      <x:c r="V5" s="2"/>
      <x:c r="W5" s="2"/>
      <x:c r="X5" s="2"/>
      <x:c r="Y5" s="2"/>
      <x:c r="Z5" s="2"/>
    </x:row>
    <x:row r="6">
      <x:c r="A6" s="2" t="s">
        <x:v>87</x:v>
      </x:c>
      <x:c r="B6" s="2"/>
      <x:c r="C6" s="2"/>
      <x:c r="D6" s="2"/>
      <x:c r="E6" s="2"/>
      <x:c r="F6" s="2"/>
      <x:c r="G6" s="2"/>
      <x:c r="H6" s="2"/>
      <x:c r="I6" s="2"/>
      <x:c r="J6" s="2"/>
      <x:c r="K6" s="2"/>
      <x:c r="L6" s="2"/>
      <x:c r="M6" s="2"/>
      <x:c r="N6" s="2"/>
      <x:c r="O6" s="2"/>
      <x:c r="P6" s="2"/>
      <x:c r="Q6" s="2"/>
      <x:c r="R6" s="2"/>
      <x:c r="S6" s="2"/>
      <x:c r="T6" s="2"/>
      <x:c r="U6" s="2"/>
      <x:c r="V6" s="2"/>
      <x:c r="W6" s="2"/>
      <x:c r="X6" s="2"/>
      <x:c r="Y6" s="2"/>
      <x:c r="Z6" s="2"/>
    </x:row>
    <x:row r="7">
      <x:c r="A7" s="2" t="s">
        <x:v>112</x:v>
      </x:c>
      <x:c r="B7" s="2"/>
      <x:c r="C7" s="2"/>
      <x:c r="D7" s="2"/>
      <x:c r="E7" s="2"/>
      <x:c r="F7" s="2"/>
      <x:c r="G7" s="2"/>
      <x:c r="H7" s="2"/>
      <x:c r="I7" s="2"/>
      <x:c r="J7" s="2"/>
      <x:c r="K7" s="2"/>
      <x:c r="L7" s="2"/>
      <x:c r="M7" s="2"/>
      <x:c r="N7" s="2"/>
      <x:c r="O7" s="2"/>
      <x:c r="P7" s="2"/>
      <x:c r="Q7" s="2"/>
      <x:c r="R7" s="2"/>
      <x:c r="S7" s="2"/>
      <x:c r="T7" s="2"/>
      <x:c r="U7" s="2"/>
      <x:c r="V7" s="2"/>
      <x:c r="W7" s="2"/>
      <x:c r="X7" s="2"/>
      <x:c r="Y7" s="2"/>
      <x:c r="Z7" s="2"/>
    </x:row>
    <x:row r="8">
      <x:c r="A8" s="2" t="s">
        <x:v>117</x:v>
      </x:c>
      <x:c r="B8" s="2"/>
      <x:c r="C8" s="2"/>
      <x:c r="D8" s="2"/>
      <x:c r="E8" s="2"/>
      <x:c r="F8" s="2"/>
      <x:c r="G8" s="2"/>
      <x:c r="H8" s="2"/>
      <x:c r="I8" s="2"/>
      <x:c r="J8" s="2"/>
      <x:c r="K8" s="2"/>
      <x:c r="L8" s="2"/>
      <x:c r="M8" s="2"/>
      <x:c r="N8" s="2"/>
      <x:c r="O8" s="2"/>
      <x:c r="P8" s="2"/>
      <x:c r="Q8" s="2"/>
      <x:c r="R8" s="2"/>
      <x:c r="S8" s="2"/>
      <x:c r="T8" s="2"/>
      <x:c r="U8" s="2"/>
      <x:c r="V8" s="2"/>
      <x:c r="W8" s="2"/>
      <x:c r="X8" s="2"/>
      <x:c r="Y8" s="2"/>
      <x:c r="Z8" s="2"/>
    </x:row>
    <x:row r="9">
      <x:c r="A9" s="2"/>
      <x:c r="B9" s="2"/>
      <x:c r="C9" s="2"/>
      <x:c r="D9" s="2"/>
      <x:c r="E9" s="2"/>
      <x:c r="F9" s="2"/>
      <x:c r="G9" s="2"/>
      <x:c r="H9" s="2"/>
      <x:c r="I9" s="2"/>
      <x:c r="J9" s="2"/>
      <x:c r="K9" s="2"/>
      <x:c r="L9" s="2"/>
      <x:c r="M9" s="2"/>
      <x:c r="N9" s="2"/>
      <x:c r="O9" s="2"/>
      <x:c r="P9" s="2"/>
      <x:c r="Q9" s="2"/>
      <x:c r="R9" s="2"/>
      <x:c r="S9" s="2"/>
      <x:c r="T9" s="2"/>
      <x:c r="U9" s="2"/>
      <x:c r="V9" s="2"/>
      <x:c r="W9" s="2"/>
      <x:c r="X9" s="2"/>
      <x:c r="Y9" s="2"/>
      <x:c r="Z9" s="2"/>
    </x:row>
    <x:row r="10">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sheetData>
  <x:pageMargins left="0.7" right="0.7" top="0.75" bottom="0.75" header="0.3" footer="0.3"/>
</x:worksheet>
</file>