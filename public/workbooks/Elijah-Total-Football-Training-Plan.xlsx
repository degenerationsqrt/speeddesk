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863412e8a87e16e9/elijah traing/"/>
    </mc:Choice>
  </mc:AlternateContent>
  <xr:revisionPtr revIDLastSave="2" documentId="8_{0813572B-971D-4021-8261-ECA949E2488A}" xr6:coauthVersionLast="47" xr6:coauthVersionMax="47" xr10:uidLastSave="{F06F629C-3777-43D7-9AAC-EC9B29B5E091}"/>
  <bookViews>
    <workbookView xWindow="-120" yWindow="-120" windowWidth="29040" windowHeight="15720" firstSheet="2" activeTab="8" xr2:uid="{00000000-000D-0000-FFFF-FFFF00000000}"/>
  </bookViews>
  <sheets>
    <sheet name="Dashboard" sheetId="1" r:id="rId1"/>
    <sheet name="Weekly Plan" sheetId="2" r:id="rId2"/>
    <sheet name="Session 1 - IQ" sheetId="3" r:id="rId3"/>
    <sheet name="Session 2 - Duels" sheetId="4" r:id="rId4"/>
    <sheet name="Session 3 - Forward" sheetId="5" r:id="rId5"/>
    <sheet name="20-Min Homework" sheetId="6" r:id="rId6"/>
    <sheet name="Score Tracker" sheetId="7" r:id="rId7"/>
    <sheet name="Session Log" sheetId="8" r:id="rId8"/>
    <sheet name="References" sheetId="9" r:id="rId9"/>
    <sheet name="Lists"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5" i="8" l="1"/>
  <c r="B105" i="8"/>
  <c r="G104" i="8"/>
  <c r="B104" i="8"/>
  <c r="G103" i="8"/>
  <c r="B103" i="8"/>
  <c r="G102" i="8"/>
  <c r="B102" i="8"/>
  <c r="G101" i="8"/>
  <c r="B101" i="8"/>
  <c r="G100" i="8"/>
  <c r="B100" i="8"/>
  <c r="G99" i="8"/>
  <c r="B99" i="8"/>
  <c r="G98" i="8"/>
  <c r="B98" i="8"/>
  <c r="G97" i="8"/>
  <c r="B97" i="8"/>
  <c r="G96" i="8"/>
  <c r="B96" i="8"/>
  <c r="G95" i="8"/>
  <c r="B95" i="8"/>
  <c r="G94" i="8"/>
  <c r="B94" i="8"/>
  <c r="G93" i="8"/>
  <c r="B93" i="8"/>
  <c r="G92" i="8"/>
  <c r="B92" i="8"/>
  <c r="G91" i="8"/>
  <c r="B91" i="8"/>
  <c r="G90" i="8"/>
  <c r="B90" i="8"/>
  <c r="G89" i="8"/>
  <c r="B89" i="8"/>
  <c r="G88" i="8"/>
  <c r="B88" i="8"/>
  <c r="G87" i="8"/>
  <c r="B87" i="8"/>
  <c r="G86" i="8"/>
  <c r="B86" i="8"/>
  <c r="G85" i="8"/>
  <c r="B85" i="8"/>
  <c r="G84" i="8"/>
  <c r="B84" i="8"/>
  <c r="G83" i="8"/>
  <c r="B83" i="8"/>
  <c r="G82" i="8"/>
  <c r="B82" i="8"/>
  <c r="G81" i="8"/>
  <c r="B81" i="8"/>
  <c r="G80" i="8"/>
  <c r="B80" i="8"/>
  <c r="G79" i="8"/>
  <c r="B79" i="8"/>
  <c r="G78" i="8"/>
  <c r="B78" i="8"/>
  <c r="G77" i="8"/>
  <c r="B77" i="8"/>
  <c r="G76" i="8"/>
  <c r="B76" i="8"/>
  <c r="G75" i="8"/>
  <c r="B75" i="8"/>
  <c r="G74" i="8"/>
  <c r="B74" i="8"/>
  <c r="G73" i="8"/>
  <c r="B73" i="8"/>
  <c r="G72" i="8"/>
  <c r="B72" i="8"/>
  <c r="G71" i="8"/>
  <c r="B71" i="8"/>
  <c r="G70" i="8"/>
  <c r="B70" i="8"/>
  <c r="G69" i="8"/>
  <c r="B69" i="8"/>
  <c r="G68" i="8"/>
  <c r="B68" i="8"/>
  <c r="G67" i="8"/>
  <c r="B67" i="8"/>
  <c r="G66" i="8"/>
  <c r="B66" i="8"/>
  <c r="G65" i="8"/>
  <c r="B65" i="8"/>
  <c r="G64" i="8"/>
  <c r="B64" i="8"/>
  <c r="G63" i="8"/>
  <c r="B63" i="8"/>
  <c r="G62" i="8"/>
  <c r="B62" i="8"/>
  <c r="G61" i="8"/>
  <c r="B61" i="8"/>
  <c r="G60" i="8"/>
  <c r="B60" i="8"/>
  <c r="G59" i="8"/>
  <c r="B59" i="8"/>
  <c r="G58" i="8"/>
  <c r="B58" i="8"/>
  <c r="G57" i="8"/>
  <c r="B57" i="8"/>
  <c r="G56" i="8"/>
  <c r="B56" i="8"/>
  <c r="G55" i="8"/>
  <c r="B55" i="8"/>
  <c r="G54" i="8"/>
  <c r="B54" i="8"/>
  <c r="G53" i="8"/>
  <c r="B53" i="8"/>
  <c r="G52" i="8"/>
  <c r="B52" i="8"/>
  <c r="G51" i="8"/>
  <c r="B51" i="8"/>
  <c r="G50" i="8"/>
  <c r="B50" i="8"/>
  <c r="G49" i="8"/>
  <c r="B49" i="8"/>
  <c r="G48" i="8"/>
  <c r="B48" i="8"/>
  <c r="G47" i="8"/>
  <c r="B47" i="8"/>
  <c r="G46" i="8"/>
  <c r="B46" i="8"/>
  <c r="G45" i="8"/>
  <c r="B45" i="8"/>
  <c r="G44" i="8"/>
  <c r="B44" i="8"/>
  <c r="G43" i="8"/>
  <c r="B43" i="8"/>
  <c r="G42" i="8"/>
  <c r="B42" i="8"/>
  <c r="G41" i="8"/>
  <c r="B41" i="8"/>
  <c r="G40" i="8"/>
  <c r="B40" i="8"/>
  <c r="G39" i="8"/>
  <c r="B39" i="8"/>
  <c r="G38" i="8"/>
  <c r="B38" i="8"/>
  <c r="G37" i="8"/>
  <c r="B37" i="8"/>
  <c r="G36" i="8"/>
  <c r="B36" i="8"/>
  <c r="G35" i="8"/>
  <c r="B35" i="8"/>
  <c r="G34" i="8"/>
  <c r="B34" i="8"/>
  <c r="G33" i="8"/>
  <c r="B33" i="8"/>
  <c r="G32" i="8"/>
  <c r="B32" i="8"/>
  <c r="G31" i="8"/>
  <c r="B31" i="8"/>
  <c r="G30" i="8"/>
  <c r="B30" i="8"/>
  <c r="G29" i="8"/>
  <c r="B29" i="8"/>
  <c r="G28" i="8"/>
  <c r="B28" i="8"/>
  <c r="G27" i="8"/>
  <c r="B27" i="8"/>
  <c r="G26" i="8"/>
  <c r="B26" i="8"/>
  <c r="G25" i="8"/>
  <c r="B25" i="8"/>
  <c r="G24" i="8"/>
  <c r="B24" i="8"/>
  <c r="G23" i="8"/>
  <c r="B23" i="8"/>
  <c r="G22" i="8"/>
  <c r="B22" i="8"/>
  <c r="G21" i="8"/>
  <c r="B21" i="8"/>
  <c r="G20" i="8"/>
  <c r="B20" i="8"/>
  <c r="G19" i="8"/>
  <c r="B19" i="8"/>
  <c r="G18" i="8"/>
  <c r="B18" i="8"/>
  <c r="G17" i="8"/>
  <c r="B17" i="8"/>
  <c r="G16" i="8"/>
  <c r="B16" i="8"/>
  <c r="G15" i="8"/>
  <c r="B15" i="8"/>
  <c r="G14" i="8"/>
  <c r="B14" i="8"/>
  <c r="G13" i="8"/>
  <c r="B13" i="8"/>
  <c r="G12" i="8"/>
  <c r="B12" i="8"/>
  <c r="G11" i="8"/>
  <c r="B11" i="8"/>
  <c r="G10" i="8"/>
  <c r="B10" i="8"/>
  <c r="G9" i="8"/>
  <c r="B9" i="8"/>
  <c r="G8" i="8"/>
  <c r="B8" i="8"/>
  <c r="G7" i="8"/>
  <c r="B7" i="8"/>
  <c r="G6" i="8"/>
  <c r="B6" i="8"/>
  <c r="P17" i="7"/>
  <c r="O17" i="7"/>
  <c r="P16" i="7"/>
  <c r="O16" i="7"/>
  <c r="P15" i="7"/>
  <c r="O15" i="7"/>
  <c r="O14" i="7"/>
  <c r="P14" i="7" s="1"/>
  <c r="O13" i="7"/>
  <c r="P13" i="7" s="1"/>
  <c r="O12" i="7"/>
  <c r="P12" i="7" s="1"/>
  <c r="O11" i="7"/>
  <c r="P11" i="7" s="1"/>
  <c r="P10" i="7"/>
  <c r="O10" i="7"/>
  <c r="P9" i="7"/>
  <c r="O9" i="7"/>
  <c r="P8" i="7"/>
  <c r="O8" i="7"/>
  <c r="P7" i="7"/>
  <c r="O7" i="7"/>
  <c r="P6" i="7"/>
  <c r="O6" i="7"/>
  <c r="B17" i="2"/>
  <c r="D17" i="2" s="1"/>
  <c r="B16" i="2"/>
  <c r="D16" i="2" s="1"/>
  <c r="B14" i="2"/>
  <c r="B11" i="1" s="1"/>
  <c r="H11" i="1" s="1"/>
  <c r="E11" i="2"/>
  <c r="E10" i="2"/>
  <c r="E9" i="2"/>
  <c r="E8" i="2"/>
  <c r="E7" i="2"/>
  <c r="E6" i="2"/>
  <c r="E5" i="2"/>
  <c r="B15" i="2" s="1"/>
  <c r="F21" i="1"/>
  <c r="H21" i="1" s="1"/>
  <c r="D21" i="1"/>
  <c r="B21" i="1"/>
  <c r="F20" i="1"/>
  <c r="H20" i="1" s="1"/>
  <c r="B20" i="1"/>
  <c r="D20" i="1" s="1"/>
  <c r="F19" i="1"/>
  <c r="H19" i="1" s="1"/>
  <c r="B19" i="1"/>
  <c r="D19" i="1" s="1"/>
  <c r="F18" i="1"/>
  <c r="H18" i="1" s="1"/>
  <c r="B18" i="1"/>
  <c r="D18" i="1" s="1"/>
  <c r="D15" i="2" l="1"/>
  <c r="B12" i="1"/>
  <c r="H12" i="1" s="1"/>
  <c r="B14" i="1"/>
  <c r="H14" i="1" s="1"/>
  <c r="D14" i="2"/>
  <c r="B13" i="1"/>
  <c r="H13" i="1" s="1"/>
</calcChain>
</file>

<file path=xl/sharedStrings.xml><?xml version="1.0" encoding="utf-8"?>
<sst xmlns="http://schemas.openxmlformats.org/spreadsheetml/2006/main" count="510" uniqueCount="330">
  <si>
    <t>Elijah Total Football Training Command Center</t>
  </si>
  <si>
    <t>Athlete</t>
  </si>
  <si>
    <t>Elijah</t>
  </si>
  <si>
    <t>How to Use This Workbook</t>
  </si>
  <si>
    <t>Identity</t>
  </si>
  <si>
    <t>Total footballer: score, press, defend, create, win duels</t>
  </si>
  <si>
    <t>1) Adjust the Weekly Plan around club load.
2) Use the three session tabs for private sessions.
3) Use 20-Min Homework when motivation is low.
4) Record actual work in Session Log.
5) Update Score Tracker once per week.</t>
  </si>
  <si>
    <t>Plan</t>
  </si>
  <si>
    <t>2 hard individual sessions + 1 light technical session + 1 full rest day</t>
  </si>
  <si>
    <t>Main Rule</t>
  </si>
  <si>
    <t>Train the whole game, not only striker goals</t>
  </si>
  <si>
    <t>Weekly Plan Snapshot</t>
  </si>
  <si>
    <t>Metric</t>
  </si>
  <si>
    <t>Value</t>
  </si>
  <si>
    <t>Target / Note</t>
  </si>
  <si>
    <t>Standard</t>
  </si>
  <si>
    <t>Meaning</t>
  </si>
  <si>
    <t>Action</t>
  </si>
  <si>
    <t>Status</t>
  </si>
  <si>
    <t>Planned Minutes</t>
  </si>
  <si>
    <t>300-400 depending on club week</t>
  </si>
  <si>
    <t>Scan Score</t>
  </si>
  <si>
    <t>8/10+ before receiving</t>
  </si>
  <si>
    <t>Use Session 1</t>
  </si>
  <si>
    <t>Planned Load</t>
  </si>
  <si>
    <t>Avoid sudden load spikes</t>
  </si>
  <si>
    <t>Finishing</t>
  </si>
  <si>
    <t>70%+ on frame</t>
  </si>
  <si>
    <t>Use Session 3</t>
  </si>
  <si>
    <t>Hard Individual Days</t>
  </si>
  <si>
    <t>2 max most weeks</t>
  </si>
  <si>
    <t>1v1 Duels</t>
  </si>
  <si>
    <t>60%+ win/delay rate</t>
  </si>
  <si>
    <t>Use Session 2</t>
  </si>
  <si>
    <t>Full Rest Days</t>
  </si>
  <si>
    <t>1+ minimum</t>
  </si>
  <si>
    <t>Weak Foot</t>
  </si>
  <si>
    <t>100 clean passes</t>
  </si>
  <si>
    <t>Use Homework</t>
  </si>
  <si>
    <t>Latest Weekly Scorecard</t>
  </si>
  <si>
    <t>Latest Value</t>
  </si>
  <si>
    <t>Target</t>
  </si>
  <si>
    <t>Trend / Focus</t>
  </si>
  <si>
    <t>Juggling Record</t>
  </si>
  <si>
    <t>80+</t>
  </si>
  <si>
    <t>Finishing On Frame %</t>
  </si>
  <si>
    <t>70%+</t>
  </si>
  <si>
    <t>Weak-Foot Passes</t>
  </si>
  <si>
    <t>100</t>
  </si>
  <si>
    <t>1v1 Def Win %</t>
  </si>
  <si>
    <t>60%+</t>
  </si>
  <si>
    <t>10 yd Sprint</t>
  </si>
  <si>
    <t>2.20 sec</t>
  </si>
  <si>
    <t>1v1 Attack Win %</t>
  </si>
  <si>
    <t>8/10+</t>
  </si>
  <si>
    <t>Overall Score</t>
  </si>
  <si>
    <t>Non-Negotiables</t>
  </si>
  <si>
    <t>1</t>
  </si>
  <si>
    <t>Scan before receiving</t>
  </si>
  <si>
    <t>He must check shoulder before the ball arrives, not after.</t>
  </si>
  <si>
    <t>2</t>
  </si>
  <si>
    <t>First touch with purpose</t>
  </si>
  <si>
    <t>First touch should escape pressure or prepare the next action.</t>
  </si>
  <si>
    <t>3</t>
  </si>
  <si>
    <t>Lose it, hunt it</t>
  </si>
  <si>
    <t>Immediate counterpress for three seconds after losing possession.</t>
  </si>
  <si>
    <t>4</t>
  </si>
  <si>
    <t>One move then explode</t>
  </si>
  <si>
    <t>No dancing. Beat the man and go.</t>
  </si>
  <si>
    <t>5</t>
  </si>
  <si>
    <t>Dad/Coach/Scout mode</t>
  </si>
  <si>
    <t>Push standards without making every session emotional.</t>
  </si>
  <si>
    <t>Elijah Total Football Weekly Training Plan</t>
  </si>
  <si>
    <t>Flexible template. Adjust around club training, match load, soreness, and school. Target: 2 hard individual sessions, 1 light technical session, and at least 1 full rest day.</t>
  </si>
  <si>
    <t>Day</t>
  </si>
  <si>
    <t>Session Type</t>
  </si>
  <si>
    <t>Duration Min</t>
  </si>
  <si>
    <t>Planned RPE</t>
  </si>
  <si>
    <t>Training Load</t>
  </si>
  <si>
    <t>Intensity</t>
  </si>
  <si>
    <t>Primary Focus</t>
  </si>
  <si>
    <t>Parent Mode</t>
  </si>
  <si>
    <t>Non-Negotiable</t>
  </si>
  <si>
    <t>Notes</t>
  </si>
  <si>
    <t>Monday</t>
  </si>
  <si>
    <t>Total Football IQ</t>
  </si>
  <si>
    <t>Medium</t>
  </si>
  <si>
    <t>Scanning, first touch, pressure escape, role rotation</t>
  </si>
  <si>
    <t>Mixed</t>
  </si>
  <si>
    <t>Quality touches and decisions over punishment</t>
  </si>
  <si>
    <t>Move this day if club training is heavy.</t>
  </si>
  <si>
    <t>Tuesday</t>
  </si>
  <si>
    <t>Club Training</t>
  </si>
  <si>
    <t>High</t>
  </si>
  <si>
    <t>Team tactics, coach instructions, positional discipline</t>
  </si>
  <si>
    <t>Scout</t>
  </si>
  <si>
    <t>Respect the team plan</t>
  </si>
  <si>
    <t>No hard extra work after a brutal club session.</t>
  </si>
  <si>
    <t>Wednesday</t>
  </si>
  <si>
    <t>Speed + Duels</t>
  </si>
  <si>
    <t>Acceleration, reaction cuts, 1v1 defending/attacking</t>
  </si>
  <si>
    <t>Coach</t>
  </si>
  <si>
    <t>Full rest between sprints; no lazy reps</t>
  </si>
  <si>
    <t>Competitive dog session.</t>
  </si>
  <si>
    <t>Thursday</t>
  </si>
  <si>
    <t>20-Min Homework</t>
  </si>
  <si>
    <t>Low</t>
  </si>
  <si>
    <t>Juggling, wall passing, weak foot, ball mastery</t>
  </si>
  <si>
    <t>Dad</t>
  </si>
  <si>
    <t>Keep it fun and clean</t>
  </si>
  <si>
    <t>Win the habit without a fight.</t>
  </si>
  <si>
    <t>Friday</t>
  </si>
  <si>
    <t>Forward Killer</t>
  </si>
  <si>
    <t>Movement, finishing, back-to-goal, striker pressing</t>
  </si>
  <si>
    <t>70%+ on frame before adding speed</t>
  </si>
  <si>
    <t>Do not just shoot; move before every finish.</t>
  </si>
  <si>
    <t>Saturday</t>
  </si>
  <si>
    <t>Match/Scrimmage</t>
  </si>
  <si>
    <t>Apply total player profile in a real game</t>
  </si>
  <si>
    <t>Observe more than you talk</t>
  </si>
  <si>
    <t>Post-game: ask what he saw, not only what he did.</t>
  </si>
  <si>
    <t>Sunday</t>
  </si>
  <si>
    <t>Rest/Recovery</t>
  </si>
  <si>
    <t>Rest</t>
  </si>
  <si>
    <t>No soccer-specific training</t>
  </si>
  <si>
    <t>Protect body and mind</t>
  </si>
  <si>
    <t>Walk, stretch, family time only.</t>
  </si>
  <si>
    <t>Weekly Summary</t>
  </si>
  <si>
    <t>Formula</t>
  </si>
  <si>
    <t>Current Plan</t>
  </si>
  <si>
    <t>Total Planned Minutes</t>
  </si>
  <si>
    <t>300-400 based on club load</t>
  </si>
  <si>
    <t>Total Training Load</t>
  </si>
  <si>
    <t>Keep stable week to week</t>
  </si>
  <si>
    <t>Coach's Rule</t>
  </si>
  <si>
    <t>Do not make every session a father-son war. Use Coach Mode for standards, Dad Mode for joy, and Scout Mode to observe quietly. The win is a player who wants to return tomorrow.</t>
  </si>
  <si>
    <t>Session 1 — Total Football IQ</t>
  </si>
  <si>
    <t>Goal: build the European profile — scan early, receive on the half-turn, pass with both feet, escape pressure, and understand how striker, winger, fullback, and midfielder actions connect.</t>
  </si>
  <si>
    <t>Block</t>
  </si>
  <si>
    <t>Minutes</t>
  </si>
  <si>
    <t>Drill</t>
  </si>
  <si>
    <t>Setup</t>
  </si>
  <si>
    <t>Reps / Rules</t>
  </si>
  <si>
    <t>Coaching Cues</t>
  </si>
  <si>
    <t>Success Standard</t>
  </si>
  <si>
    <t>Warmup</t>
  </si>
  <si>
    <t>Dynamic warmup + accelerations</t>
  </si>
  <si>
    <t>High knees, skips, shuffles, hips, backpedal, sprint mechanics</t>
  </si>
  <si>
    <t>3 x 10 yd + 3 x 15 yd accelerations</t>
  </si>
  <si>
    <t>Sharp not tired. Smooth mechanics.</t>
  </si>
  <si>
    <t>Fresh legs and clean posture</t>
  </si>
  <si>
    <t>Scan</t>
  </si>
  <si>
    <t>Color scan before receiving</t>
  </si>
  <si>
    <t>Four colored cones/objects around him; parent calls color before pass arrives</t>
  </si>
  <si>
    <t>5 x 90 sec, 45 sec rest</t>
  </si>
  <si>
    <t>Scan before. Open body. First touch away from pressure.</t>
  </si>
  <si>
    <t>8/10 reps include visible shoulder check</t>
  </si>
  <si>
    <t>Pass</t>
  </si>
  <si>
    <t>Two-foot wall/parent passing</t>
  </si>
  <si>
    <t>Wall or parent 8-12 yards away</t>
  </si>
  <si>
    <t>50 right, 50 left, 25 one-touch each, 25 across-body</t>
  </si>
  <si>
    <t>Clean pace on floor. No lazy passes.</t>
  </si>
  <si>
    <t>100+ clean weak-foot passes weekly</t>
  </si>
  <si>
    <t>Escape</t>
  </si>
  <si>
    <t>Pressure commands</t>
  </si>
  <si>
    <t>Cone defender or passive pressure from behind</t>
  </si>
  <si>
    <t>Commands: "Man on" bounce; "Turn" open; "Left/Right shoulder" touch away</t>
  </si>
  <si>
    <t>Receive based on information, not habit.</t>
  </si>
  <si>
    <t>Correct decision before technical speed</t>
  </si>
  <si>
    <t>Rotate</t>
  </si>
  <si>
    <t>Position rotation pattern</t>
  </si>
  <si>
    <t>Same ball pattern from striker, winger, fullback, midfielder roles</t>
  </si>
  <si>
    <t>4 roles x 3-4 reps each action</t>
  </si>
  <si>
    <t>Understand the job of every position.</t>
  </si>
  <si>
    <t>Can explain role after each round</t>
  </si>
  <si>
    <t>Cooldown</t>
  </si>
  <si>
    <t>Breathing + recap</t>
  </si>
  <si>
    <t>Walk, hydrate, quick stretch</t>
  </si>
  <si>
    <t>Ask: what did you see before receiving?</t>
  </si>
  <si>
    <t>Make him verbalize the picture.</t>
  </si>
  <si>
    <t>One clear learning point recorded</t>
  </si>
  <si>
    <t>Coaching Standard</t>
  </si>
  <si>
    <t>This is not a cone-show session. Every rep must include information: scan, body shape, first touch, decision, execution. If the decision is wrong, slow the drill down before adding speed.</t>
  </si>
  <si>
    <t>Session 2 — Speed + Duels</t>
  </si>
  <si>
    <t>Goal: build the two-way monster — acceleration, reaction cuts, 1v1 defending, 1v1 attacking, and instant transition after losing the ball.</t>
  </si>
  <si>
    <t>Dynamic movement + activation</t>
  </si>
  <si>
    <t>A-skips, shuffles, carioca, hips, pogo hops</t>
  </si>
  <si>
    <t>2 rounds</t>
  </si>
  <si>
    <t>Tall posture, fast feet, soft landing.</t>
  </si>
  <si>
    <t>Ready to sprint without stiffness</t>
  </si>
  <si>
    <t>Speed</t>
  </si>
  <si>
    <t>Sprint mechanics</t>
  </si>
  <si>
    <t>Wall drives, falling starts, 10-20 yd lane</t>
  </si>
  <si>
    <t>5 x 10 yd, 4 x 20 yd, full rest</t>
  </si>
  <si>
    <t>Speed is not conditioning. Full rest. Violent first 3 steps.</t>
  </si>
  <si>
    <t>No rep starts tired</t>
  </si>
  <si>
    <t>Reaction</t>
  </si>
  <si>
    <t>Random direction cuts</t>
  </si>
  <si>
    <t>Three-cone line: left, middle, right</t>
  </si>
  <si>
    <t>8 right, 8 left, 8 random</t>
  </si>
  <si>
    <t>Drop hips. Push ground away. Explode out.</t>
  </si>
  <si>
    <t>Clean cut without slipping or standing up</t>
  </si>
  <si>
    <t>Defend</t>
  </si>
  <si>
    <t>1v1 defending box</t>
  </si>
  <si>
    <t>10x12 yd box, attacker dribbles at him</t>
  </si>
  <si>
    <t>First to 7 points</t>
  </si>
  <si>
    <t>Fast approach, slow finish. Side-on. Do not stab.</t>
  </si>
  <si>
    <t>60%+ delay/win score</t>
  </si>
  <si>
    <t>Attack</t>
  </si>
  <si>
    <t>1v1 attacking box</t>
  </si>
  <si>
    <t>Same box; Elijah attacks</t>
  </si>
  <si>
    <t>One move then explode; first to 7</t>
  </si>
  <si>
    <t>One move. Violence after the move.</t>
  </si>
  <si>
    <t>60%+ beat/finish score</t>
  </si>
  <si>
    <t>Transition</t>
  </si>
  <si>
    <t>1v1 attack continues if ball is lost</t>
  </si>
  <si>
    <t>3-second counterpress rule</t>
  </si>
  <si>
    <t>The play is not over when he loses it.</t>
  </si>
  <si>
    <t>Immediate chase after every turnover</t>
  </si>
  <si>
    <t>Do not turn speed into punishment. High-quality sprints need full recovery. The duel work should be competitive, but the main standard is decision plus body position, not just winning by being stronger.</t>
  </si>
  <si>
    <t>Session 3 — Forward Killer</t>
  </si>
  <si>
    <t>Goal: keep the striker weapon sharp while training the modern forward: movement, finishing, back-to-goal strength, pressing angles, and recovery after loss.</t>
  </si>
  <si>
    <t>Movement prep + ball activation</t>
  </si>
  <si>
    <t>Dynamic movement, light touches, passes into feet</t>
  </si>
  <si>
    <t>Prepare ankles, hips, hamstrings, and touch.</t>
  </si>
  <si>
    <t>Ready to finish with control</t>
  </si>
  <si>
    <t>Movement</t>
  </si>
  <si>
    <t>Runs before finishing</t>
  </si>
  <si>
    <t>Cone or parent server; no standing shots</t>
  </si>
  <si>
    <t>Check away/to, pull off shoulder, curve run, near/far post</t>
  </si>
  <si>
    <t>Movement creates the goal before the shot.</t>
  </si>
  <si>
    <t>Every finish starts with movement</t>
  </si>
  <si>
    <t>Finish</t>
  </si>
  <si>
    <t>Finishing categories</t>
  </si>
  <si>
    <t>Goal, mini-goals, or target zones</t>
  </si>
  <si>
    <t>10 right placement, 10 left placement, 10 power each, 10 one-touch, 10 cut-in, 10 across-goal</t>
  </si>
  <si>
    <t>Pick a target. Head steady. Hit frame.</t>
  </si>
  <si>
    <t>Hold</t>
  </si>
  <si>
    <t>Back-to-goal striker work</t>
  </si>
  <si>
    <t>Server plays into feet with passive pressure</t>
  </si>
  <si>
    <t>Shield, bounce, spin, roll defender</t>
  </si>
  <si>
    <t>Be strong, not stiff. Feel pressure.</t>
  </si>
  <si>
    <t>Can keep ball and connect next pass</t>
  </si>
  <si>
    <t>Press</t>
  </si>
  <si>
    <t>Striker pressing angles</t>
  </si>
  <si>
    <t>Two cone center backs + one cone keeper</t>
  </si>
  <si>
    <t>Parent points ball side; Elijah curves press</t>
  </si>
  <si>
    <t>Press with brain, not just legs.</t>
  </si>
  <si>
    <t>Cuts off one lane while sprinting</t>
  </si>
  <si>
    <t>Finishing percentage recap</t>
  </si>
  <si>
    <t>Record shots on frame and misses</t>
  </si>
  <si>
    <t>Write % in tracker</t>
  </si>
  <si>
    <t>Track the truth. Do not guess.</t>
  </si>
  <si>
    <t>Number entered in Score Tracker</t>
  </si>
  <si>
    <t>A real forward does more than score. He moves before the ball arrives, finishes with both feet, protects the ball under contact, presses with angles, and wins the next action after losing it.</t>
  </si>
  <si>
    <t>20-Minute Minimum Homework</t>
  </si>
  <si>
    <t>Use this on low-motivation days. Do not negotiate a full session. Ask him to pick one focus and give 20 clean minutes. The goal is habit, touch count, and confidence.</t>
  </si>
  <si>
    <t>Work</t>
  </si>
  <si>
    <t>Options</t>
  </si>
  <si>
    <t>Parent Line</t>
  </si>
  <si>
    <t>Juggling</t>
  </si>
  <si>
    <t>Right foot, left foot, thighs, mixed</t>
  </si>
  <si>
    <t>Clean touches; record best streak</t>
  </si>
  <si>
    <t>Beat your score, not your brother.</t>
  </si>
  <si>
    <t>Wall passing</t>
  </si>
  <si>
    <t>Two-touch, one-touch, weak foot</t>
  </si>
  <si>
    <t>Ball on floor; clean return line</t>
  </si>
  <si>
    <t>Make it look easy.</t>
  </si>
  <si>
    <t>Ball mastery</t>
  </si>
  <si>
    <t>Inside-inside, sole rolls, V-pulls, scissors, L-turns</t>
  </si>
  <si>
    <t>Head up every few touches</t>
  </si>
  <si>
    <t>Smooth then fast.</t>
  </si>
  <si>
    <t>First touch or finishing</t>
  </si>
  <si>
    <t>Wall target, mini goal, touch into space</t>
  </si>
  <si>
    <t>First touch has a purpose</t>
  </si>
  <si>
    <t>One clean action at a time.</t>
  </si>
  <si>
    <t>Motivation Script</t>
  </si>
  <si>
    <t>Do not say: “You need to train.” Say: “Pick one: finishing, speed, or 1v1s. Twenty minutes.” Give him control inside your standard. End the session while he still has energy.</t>
  </si>
  <si>
    <t>Elijah Score Tracker — 12-Week Total Football Development</t>
  </si>
  <si>
    <t>Enter scores once per week. Pink cells are manual inputs. Blue cells are formulas. Use the trend to see what is improving and what needs attention.</t>
  </si>
  <si>
    <t>Week</t>
  </si>
  <si>
    <t>Week Start</t>
  </si>
  <si>
    <t>Weak-Foot Clean Passes</t>
  </si>
  <si>
    <t>10 yd Sprint sec</t>
  </si>
  <si>
    <t>20 yd Sprint sec</t>
  </si>
  <si>
    <t>Scan Score /10</t>
  </si>
  <si>
    <t>Sessions Completed</t>
  </si>
  <si>
    <t>Avg RPE</t>
  </si>
  <si>
    <t>Weekly Load</t>
  </si>
  <si>
    <t>Improvement Focus</t>
  </si>
  <si>
    <t>Session Log — Daily Training Record</t>
  </si>
  <si>
    <t>Use this after each training day. Training Load = Duration x RPE. Energy/soreness notes help decide when to push and when to back off.</t>
  </si>
  <si>
    <t>Date</t>
  </si>
  <si>
    <t>RPE 1-10</t>
  </si>
  <si>
    <t>Energy Flag</t>
  </si>
  <si>
    <t>Soreness 1-10</t>
  </si>
  <si>
    <t>Best Moment</t>
  </si>
  <si>
    <t>Needs Work</t>
  </si>
  <si>
    <t>Dad/Coach Notes</t>
  </si>
  <si>
    <t>Planned</t>
  </si>
  <si>
    <t>Training References + Source Links</t>
  </si>
  <si>
    <t>Topic</t>
  </si>
  <si>
    <t>Why It Matters</t>
  </si>
  <si>
    <t>Source</t>
  </si>
  <si>
    <t>URL</t>
  </si>
  <si>
    <t>Position rotation</t>
  </si>
  <si>
    <t>Young players benefit from exposure to different positions before being locked into a role.</t>
  </si>
  <si>
    <t>England Football Learning</t>
  </si>
  <si>
    <t>https://learn.englandfootball.com/articles-and-resources/coaching/resources/2023/Why-your-players-should-try-different-positions</t>
  </si>
  <si>
    <t>Position-specific training</t>
  </si>
  <si>
    <t>Elite development should connect technical actions, role demands, and game-like decisions.</t>
  </si>
  <si>
    <t>FIFA Training Centre</t>
  </si>
  <si>
    <t>https://www.fifatrainingcentre.com/en/practice/talent-coach-programme/position-specific-training/developing-players-using-position-specific-training.php</t>
  </si>
  <si>
    <t>Scanning and first touch</t>
  </si>
  <si>
    <t>Players should scan before receiving, adjust body orientation, and use first touch to prepare the next action.</t>
  </si>
  <si>
    <t>https://www.fifatrainingcentre.com/en/practice/talent-coach-programme/position-specific-training/individual-actions-developing-central-midfielders.php</t>
  </si>
  <si>
    <t>Youth load/rest</t>
  </si>
  <si>
    <t>Protect against burnout and overuse by maintaining rest and avoiding too many intense sport-specific days.</t>
  </si>
  <si>
    <t>American Academy of Pediatrics</t>
  </si>
  <si>
    <t>https://publications.aap.org/aapnews/news/27833/Professionalization-of-youth-sports-can-lead-to</t>
  </si>
  <si>
    <t>Modern defenders</t>
  </si>
  <si>
    <t>Modern defenders must defend space, pass forward, and contribute to attacks.</t>
  </si>
  <si>
    <t>UEFA Technical Observers</t>
  </si>
  <si>
    <t>https://www.uefa.com/uefachampionsleague/news/028a-1a1bf7e6d9ae-9ea32505034e-1000--champions-league-performance-insights-going-1v1/</t>
  </si>
  <si>
    <t>Green</t>
  </si>
  <si>
    <t>Done</t>
  </si>
  <si>
    <t>Yellow</t>
  </si>
  <si>
    <t>Skipped</t>
  </si>
  <si>
    <t>Red</t>
  </si>
  <si>
    <t>Modified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</si>
</sst>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name val="Carlito"/>
    </font>
    <font>
      <b/>
      <sz val="11"/>
      <color rgb="FFFFFFFF"/>
      <name val="Carlito"/>
    </font>
    <font>
      <b/>
      <sz val="16"/>
      <color rgb="FFFFFFFF"/>
      <name val="Carlito"/>
    </font>
    <font>
      <sz val="11"/>
      <color rgb="FF0F172A"/>
      <name val="Carlito"/>
    </font>
    <font>
      <b/>
      <sz val="12"/>
      <color rgb="FFFFFFFF"/>
      <name val="Carlito"/>
    </font>
    <font>
      <b/>
      <sz val="11"/>
      <color rgb="FF0F172A"/>
      <name val="Carlito"/>
    </font>
    <font>
      <u/>
      <sz val="11"/>
      <color theme="10"/>
      <name val="Carlito"/>
    </font>
  </fonts>
  <fills count="9">
    <fill>
      <patternFill patternType="none"/>
    </fill>
    <fill>
      <patternFill patternType="gray125"/>
    </fill>
    <fill>
      <patternFill patternType="solid">
        <fgColor rgb="FF334155"/>
      </patternFill>
    </fill>
    <fill>
      <patternFill patternType="solid">
        <fgColor rgb="FF0F172A"/>
      </patternFill>
    </fill>
    <fill>
      <patternFill patternType="solid">
        <fgColor rgb="FFFEF3C7"/>
      </patternFill>
    </fill>
    <fill>
      <patternFill patternType="solid">
        <fgColor rgb="FFEEF2FF"/>
      </patternFill>
    </fill>
    <fill>
      <patternFill patternType="solid">
        <fgColor rgb="FF0F766E"/>
      </patternFill>
    </fill>
    <fill>
      <patternFill patternType="solid">
        <fgColor rgb="FFFDF2F8"/>
      </patternFill>
    </fill>
    <fill>
      <patternFill patternType="solid">
        <fgColor rgb="FFE2E8F0"/>
      </patternFill>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17">
    <xf numFmtId="0" fontId="0" fillId="0" borderId="0" xfId="0"/>
    <xf numFmtId="0" fontId="1" fillId="2" borderId="0" xfId="0" applyFont="1" applyFill="1" applyAlignment="1">
      <alignment horizontal="center" vertical="top" wrapText="1"/>
    </xf>
    <xf numFmtId="0" fontId="0" fillId="0" borderId="0" xfId="0" applyAlignment="1">
      <alignment vertical="top" wrapText="1"/>
    </xf>
    <xf numFmtId="0" fontId="3" fillId="5" borderId="0" xfId="0" applyFont="1" applyFill="1" applyAlignment="1">
      <alignment vertical="top" wrapText="1"/>
    </xf>
    <xf numFmtId="14" fontId="0" fillId="0" borderId="0" xfId="0" applyNumberFormat="1" applyAlignment="1">
      <alignment vertical="top" wrapText="1"/>
    </xf>
    <xf numFmtId="0" fontId="3" fillId="7" borderId="0" xfId="0" applyFont="1" applyFill="1" applyAlignment="1">
      <alignment vertical="top" wrapText="1"/>
    </xf>
    <xf numFmtId="2" fontId="3" fillId="7" borderId="0" xfId="0" applyNumberFormat="1" applyFont="1" applyFill="1" applyAlignment="1">
      <alignment vertical="top" wrapText="1"/>
    </xf>
    <xf numFmtId="9" fontId="3" fillId="7" borderId="0" xfId="0" applyNumberFormat="1" applyFont="1" applyFill="1" applyAlignment="1">
      <alignment vertical="top" wrapText="1"/>
    </xf>
    <xf numFmtId="1" fontId="3" fillId="7" borderId="0" xfId="0" applyNumberFormat="1" applyFont="1" applyFill="1" applyAlignment="1">
      <alignment vertical="top" wrapText="1"/>
    </xf>
    <xf numFmtId="1" fontId="3" fillId="5" borderId="0" xfId="0" applyNumberFormat="1" applyFont="1" applyFill="1" applyAlignment="1">
      <alignment vertical="top" wrapText="1"/>
    </xf>
    <xf numFmtId="0" fontId="5" fillId="8" borderId="0" xfId="0" applyFont="1" applyFill="1" applyAlignment="1">
      <alignment horizontal="center" vertical="top" wrapText="1"/>
    </xf>
    <xf numFmtId="9" fontId="3" fillId="5" borderId="0" xfId="0" applyNumberFormat="1" applyFont="1" applyFill="1" applyAlignment="1">
      <alignment vertical="top" wrapText="1"/>
    </xf>
    <xf numFmtId="2" fontId="3" fillId="5" borderId="0" xfId="0" applyNumberFormat="1" applyFont="1" applyFill="1" applyAlignment="1">
      <alignment vertical="top" wrapText="1"/>
    </xf>
    <xf numFmtId="0" fontId="2" fillId="3" borderId="0" xfId="0" applyFont="1" applyFill="1" applyAlignment="1">
      <alignment horizontal="center" vertical="top" wrapText="1"/>
    </xf>
    <xf numFmtId="0" fontId="4" fillId="6" borderId="0" xfId="0" applyFont="1" applyFill="1" applyAlignment="1">
      <alignment horizontal="center" vertical="top" wrapText="1"/>
    </xf>
    <xf numFmtId="0" fontId="3" fillId="4" borderId="0" xfId="0" applyFont="1" applyFill="1" applyAlignment="1">
      <alignment vertical="top" wrapText="1"/>
    </xf>
    <xf numFmtId="0" fontId="6" fillId="0" borderId="0" xfId="1" applyAlignment="1">
      <alignment vertical="top" wrapText="1"/>
    </xf>
  </cellXfs>
  <cellStyles count="2">
    <cellStyle name="Hyperlink" xfId="1" builtinId="8"/>
    <cellStyle name="Normal" xfId="0" builtinId="0"/>
  </cellStyles>
  <dxfs count="9">
    <dxf>
      <fill>
        <patternFill patternType="solid">
          <bgColor rgb="FFDCFCE7"/>
        </patternFill>
      </fill>
    </dxf>
    <dxf>
      <fill>
        <patternFill patternType="solid">
          <bgColor rgb="FFFEF3C7"/>
        </patternFill>
      </fill>
    </dxf>
    <dxf>
      <fill>
        <patternFill patternType="solid">
          <bgColor rgb="FFFEE2E2"/>
        </patternFill>
      </fill>
    </dxf>
    <dxf>
      <fill>
        <patternFill patternType="solid">
          <bgColor rgb="FFFEE2E2"/>
        </patternFill>
      </fill>
    </dxf>
    <dxf>
      <fill>
        <patternFill patternType="solid">
          <bgColor rgb="FFFEF3C7"/>
        </patternFill>
      </fill>
    </dxf>
    <dxf>
      <fill>
        <patternFill patternType="solid">
          <bgColor rgb="FFDCFCE7"/>
        </patternFill>
      </fill>
    </dxf>
    <dxf>
      <fill>
        <patternFill patternType="solid">
          <bgColor rgb="FFFEE2E2"/>
        </patternFill>
      </fill>
    </dxf>
    <dxf>
      <fill>
        <patternFill patternType="solid">
          <bgColor rgb="FFFEE2E2"/>
        </patternFill>
      </fill>
    </dxf>
    <dxf>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barChart>
        <c:barDir val="col"/>
        <c:grouping val="clustered"/>
        <c:varyColors val="0"/>
        <c:ser>
          <c:idx val="0"/>
          <c:order val="0"/>
          <c:tx>
            <c:v>Load</c:v>
          </c:tx>
          <c:invertIfNegative val="1"/>
          <c:cat>
            <c:strRef>
              <c:f>'Weekly Plan'!$A$5:$A$11</c:f>
              <c:strCache>
                <c:ptCount val="7"/>
                <c:pt idx="0">
                  <c:v>Monday</c:v>
                </c:pt>
                <c:pt idx="1">
                  <c:v>Tuesday</c:v>
                </c:pt>
                <c:pt idx="2">
                  <c:v>Wednesday</c:v>
                </c:pt>
                <c:pt idx="3">
                  <c:v>Thursday</c:v>
                </c:pt>
                <c:pt idx="4">
                  <c:v>Friday</c:v>
                </c:pt>
                <c:pt idx="5">
                  <c:v>Saturday</c:v>
                </c:pt>
                <c:pt idx="6">
                  <c:v>Sunday</c:v>
                </c:pt>
              </c:strCache>
            </c:strRef>
          </c:cat>
          <c:val>
            <c:numRef>
              <c:f>'Weekly Plan'!$E$5:$E$11</c:f>
              <c:numCache>
                <c:formatCode>General</c:formatCode>
                <c:ptCount val="7"/>
                <c:pt idx="0">
                  <c:v>390</c:v>
                </c:pt>
                <c:pt idx="1">
                  <c:v>630</c:v>
                </c:pt>
                <c:pt idx="2">
                  <c:v>480</c:v>
                </c:pt>
                <c:pt idx="3">
                  <c:v>60</c:v>
                </c:pt>
                <c:pt idx="4">
                  <c:v>455</c:v>
                </c:pt>
                <c:pt idx="5">
                  <c:v>600</c:v>
                </c:pt>
                <c:pt idx="6">
                  <c:v>0</c:v>
                </c:pt>
              </c:numCache>
            </c:numRef>
          </c:val>
          <c:extLst>
            <c:ext xmlns:c16="http://schemas.microsoft.com/office/drawing/2014/chart" uri="{C3380CC4-5D6E-409C-BE32-E72D297353CC}">
              <c16:uniqueId val="{00000000-B181-4BE7-A93D-6ECA428EB7DE}"/>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barChart>
        <c:barDir val="col"/>
        <c:grouping val="clustered"/>
        <c:varyColors val="0"/>
        <c:ser>
          <c:idx val="0"/>
          <c:order val="0"/>
          <c:tx>
            <c:v>Training Load</c:v>
          </c:tx>
          <c:invertIfNegative val="1"/>
          <c:cat>
            <c:strRef>
              <c:f>'Weekly Plan'!$A$5:$A$11</c:f>
              <c:strCache>
                <c:ptCount val="7"/>
                <c:pt idx="0">
                  <c:v>Monday</c:v>
                </c:pt>
                <c:pt idx="1">
                  <c:v>Tuesday</c:v>
                </c:pt>
                <c:pt idx="2">
                  <c:v>Wednesday</c:v>
                </c:pt>
                <c:pt idx="3">
                  <c:v>Thursday</c:v>
                </c:pt>
                <c:pt idx="4">
                  <c:v>Friday</c:v>
                </c:pt>
                <c:pt idx="5">
                  <c:v>Saturday</c:v>
                </c:pt>
                <c:pt idx="6">
                  <c:v>Sunday</c:v>
                </c:pt>
              </c:strCache>
            </c:strRef>
          </c:cat>
          <c:val>
            <c:numRef>
              <c:f>'Weekly Plan'!$E$5:$E$11</c:f>
              <c:numCache>
                <c:formatCode>General</c:formatCode>
                <c:ptCount val="7"/>
                <c:pt idx="0">
                  <c:v>390</c:v>
                </c:pt>
                <c:pt idx="1">
                  <c:v>630</c:v>
                </c:pt>
                <c:pt idx="2">
                  <c:v>480</c:v>
                </c:pt>
                <c:pt idx="3">
                  <c:v>60</c:v>
                </c:pt>
                <c:pt idx="4">
                  <c:v>455</c:v>
                </c:pt>
                <c:pt idx="5">
                  <c:v>600</c:v>
                </c:pt>
                <c:pt idx="6">
                  <c:v>0</c:v>
                </c:pt>
              </c:numCache>
            </c:numRef>
          </c:val>
          <c:extLst>
            <c:ext xmlns:c16="http://schemas.microsoft.com/office/drawing/2014/chart" uri="{C3380CC4-5D6E-409C-BE32-E72D297353CC}">
              <c16:uniqueId val="{00000000-8CDD-4C2C-AA5C-62F4AC1C10A5}"/>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0</xdr:colOff>
      <xdr:row>23</xdr:row>
      <xdr:rowOff>0</xdr:rowOff>
    </xdr:from>
    <xdr:to>
      <xdr:col>8</xdr:col>
      <xdr:colOff>0</xdr:colOff>
      <xdr:row>38</xdr:row>
      <xdr:rowOff>0</xdr:rowOff>
    </xdr:to>
    <xdr:graphicFrame macro="">
      <xdr:nvGraphicFramePr>
        <xdr:cNvPr id="2" nam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12</xdr:row>
      <xdr:rowOff>0</xdr:rowOff>
    </xdr:from>
    <xdr:to>
      <xdr:col>10</xdr:col>
      <xdr:colOff>0</xdr:colOff>
      <xdr:row>25</xdr:row>
      <xdr:rowOff>0</xdr:rowOff>
    </xdr:to>
    <xdr:graphicFrame macro="">
      <xdr:nvGraphicFramePr>
        <xdr:cNvPr id="2" nam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essionIQTable" displayName="SessionIQTable" ref="A5:G11">
  <tableColumns count="7">
    <tableColumn id="1" xr3:uid="{00000000-0010-0000-0000-000001000000}" name="Block"/>
    <tableColumn id="2" xr3:uid="{00000000-0010-0000-0000-000002000000}" name="Minutes"/>
    <tableColumn id="3" xr3:uid="{00000000-0010-0000-0000-000003000000}" name="Drill"/>
    <tableColumn id="4" xr3:uid="{00000000-0010-0000-0000-000004000000}" name="Setup"/>
    <tableColumn id="5" xr3:uid="{00000000-0010-0000-0000-000005000000}" name="Reps / Rules"/>
    <tableColumn id="6" xr3:uid="{00000000-0010-0000-0000-000006000000}" name="Coaching Cues"/>
    <tableColumn id="7" xr3:uid="{00000000-0010-0000-0000-000007000000}" name="Success Standar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essionDuelsTable" displayName="SessionDuelsTable" ref="A5:G11">
  <tableColumns count="7">
    <tableColumn id="1" xr3:uid="{00000000-0010-0000-0100-000001000000}" name="Block"/>
    <tableColumn id="2" xr3:uid="{00000000-0010-0000-0100-000002000000}" name="Minutes"/>
    <tableColumn id="3" xr3:uid="{00000000-0010-0000-0100-000003000000}" name="Drill"/>
    <tableColumn id="4" xr3:uid="{00000000-0010-0000-0100-000004000000}" name="Setup"/>
    <tableColumn id="5" xr3:uid="{00000000-0010-0000-0100-000005000000}" name="Reps / Rules"/>
    <tableColumn id="6" xr3:uid="{00000000-0010-0000-0100-000006000000}" name="Coaching Cues"/>
    <tableColumn id="7" xr3:uid="{00000000-0010-0000-0100-000007000000}" name="Success Standar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essionForwardTable" displayName="SessionForwardTable" ref="A5:G11">
  <tableColumns count="7">
    <tableColumn id="1" xr3:uid="{00000000-0010-0000-0200-000001000000}" name="Block"/>
    <tableColumn id="2" xr3:uid="{00000000-0010-0000-0200-000002000000}" name="Minutes"/>
    <tableColumn id="3" xr3:uid="{00000000-0010-0000-0200-000003000000}" name="Drill"/>
    <tableColumn id="4" xr3:uid="{00000000-0010-0000-0200-000004000000}" name="Setup"/>
    <tableColumn id="5" xr3:uid="{00000000-0010-0000-0200-000005000000}" name="Reps / Rules"/>
    <tableColumn id="6" xr3:uid="{00000000-0010-0000-0200-000006000000}" name="Coaching Cues"/>
    <tableColumn id="7" xr3:uid="{00000000-0010-0000-0200-000007000000}" name="Success Standard"/>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HomeworkTable" displayName="HomeworkTable" ref="A5:F9">
  <tableColumns count="6">
    <tableColumn id="1" xr3:uid="{00000000-0010-0000-0300-000001000000}" name="Block"/>
    <tableColumn id="2" xr3:uid="{00000000-0010-0000-0300-000002000000}" name="Minutes"/>
    <tableColumn id="3" xr3:uid="{00000000-0010-0000-0300-000003000000}" name="Work"/>
    <tableColumn id="4" xr3:uid="{00000000-0010-0000-0300-000004000000}" name="Options"/>
    <tableColumn id="5" xr3:uid="{00000000-0010-0000-0300-000005000000}" name="Standard"/>
    <tableColumn id="6" xr3:uid="{00000000-0010-0000-0300-000006000000}" name="Parent Lin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ScoreTrackerTable" displayName="ScoreTrackerTable" ref="A5:P17">
  <tableColumns count="16">
    <tableColumn id="1" xr3:uid="{00000000-0010-0000-0400-000001000000}" name="Week"/>
    <tableColumn id="2" xr3:uid="{00000000-0010-0000-0400-000002000000}" name="Week Start"/>
    <tableColumn id="3" xr3:uid="{00000000-0010-0000-0400-000003000000}" name="Juggling Record"/>
    <tableColumn id="4" xr3:uid="{00000000-0010-0000-0400-000004000000}" name="Weak-Foot Clean Passes"/>
    <tableColumn id="5" xr3:uid="{00000000-0010-0000-0400-000005000000}" name="10 yd Sprint sec"/>
    <tableColumn id="6" xr3:uid="{00000000-0010-0000-0400-000006000000}" name="20 yd Sprint sec"/>
    <tableColumn id="7" xr3:uid="{00000000-0010-0000-0400-000007000000}" name="Finishing On Frame %"/>
    <tableColumn id="8" xr3:uid="{00000000-0010-0000-0400-000008000000}" name="1v1 Def Win %"/>
    <tableColumn id="9" xr3:uid="{00000000-0010-0000-0400-000009000000}" name="1v1 Attack Win %"/>
    <tableColumn id="10" xr3:uid="{00000000-0010-0000-0400-00000A000000}" name="Scan Score /10"/>
    <tableColumn id="11" xr3:uid="{00000000-0010-0000-0400-00000B000000}" name="Sessions Completed"/>
    <tableColumn id="12" xr3:uid="{00000000-0010-0000-0400-00000C000000}" name="Avg RPE"/>
    <tableColumn id="13" xr3:uid="{00000000-0010-0000-0400-00000D000000}" name="Weekly Load"/>
    <tableColumn id="14" xr3:uid="{00000000-0010-0000-0400-00000E000000}" name="Notes"/>
    <tableColumn id="15" xr3:uid="{00000000-0010-0000-0400-00000F000000}" name="Overall Score"/>
    <tableColumn id="16" xr3:uid="{00000000-0010-0000-0400-000010000000}" name="Improvement Focu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SessionLogTable" displayName="SessionLogTable" ref="A5:L105">
  <tableColumns count="12">
    <tableColumn id="1" xr3:uid="{00000000-0010-0000-0500-000001000000}" name="Date"/>
    <tableColumn id="2" xr3:uid="{00000000-0010-0000-0500-000002000000}" name="Day"/>
    <tableColumn id="3" xr3:uid="{00000000-0010-0000-0500-000003000000}" name="Session Type"/>
    <tableColumn id="4" xr3:uid="{00000000-0010-0000-0500-000004000000}" name="Status"/>
    <tableColumn id="5" xr3:uid="{00000000-0010-0000-0500-000005000000}" name="Duration Min"/>
    <tableColumn id="6" xr3:uid="{00000000-0010-0000-0500-000006000000}" name="RPE 1-10"/>
    <tableColumn id="7" xr3:uid="{00000000-0010-0000-0500-000007000000}" name="Training Load"/>
    <tableColumn id="8" xr3:uid="{00000000-0010-0000-0500-000008000000}" name="Energy Flag"/>
    <tableColumn id="9" xr3:uid="{00000000-0010-0000-0500-000009000000}" name="Soreness 1-10"/>
    <tableColumn id="10" xr3:uid="{00000000-0010-0000-0500-00000A000000}" name="Best Moment"/>
    <tableColumn id="11" xr3:uid="{00000000-0010-0000-0500-00000B000000}" name="Needs Work"/>
    <tableColumn id="12" xr3:uid="{00000000-0010-0000-0500-00000C000000}" name="Dad/Coach Note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ReferencesTable" displayName="ReferencesTable" ref="A3:D8">
  <tableColumns count="4">
    <tableColumn id="1" xr3:uid="{00000000-0010-0000-0600-000001000000}" name="Topic"/>
    <tableColumn id="2" xr3:uid="{00000000-0010-0000-0600-000002000000}" name="Why It Matters"/>
    <tableColumn id="3" xr3:uid="{00000000-0010-0000-0600-000003000000}" name="Source"/>
    <tableColumn id="4" xr3:uid="{00000000-0010-0000-0600-000004000000}" name="URL"/>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 dockstate="right" visibility="0" width="350" row="3">
    <wetp:webextensionref xmlns:r="http://schemas.openxmlformats.org/officeDocument/2006/relationships" r:id="rId2"/>
  </wetp:taskpane>
</wetp:taskpanes>
</file>

<file path=xl/webextensions/webextension1.xml><?xml version="1.0" encoding="utf-8"?>
<we:webextension xmlns:we="http://schemas.microsoft.com/office/webextensions/webextension/2010/11" id="{98CC1533-E2BC-4E21-BAB0-164CD5D679BE}">
  <we:reference id="wa200010215" version="2.0.0.0" store="en-US" storeType="OMEX"/>
  <we:alternateReferences>
    <we:reference id="wa200010215" version="2.0.0.0" store="WA200010215" storeType="OMEX"/>
  </we:alternateReferences>
  <we:properties>
    <we:property name="bps.codex_control.document_id" value="&quot;9d924968-c1bb-4cc4-b89c-c829168ac83d&quot;"/>
  </we:properties>
  <we:bindings/>
  <we:snapshot xmlns:r="http://schemas.openxmlformats.org/officeDocument/2006/relationships"/>
</we:webextension>
</file>

<file path=xl/webextensions/webextension2.xml><?xml version="1.0" encoding="utf-8"?>
<we:webextension xmlns:we="http://schemas.microsoft.com/office/webextensions/webextension/2010/11" id="{1FC6DED8-023C-4B67-BCEA-328127B6B3D8}">
  <we:reference id="wa200010725" version="1.0.0.1" store="en-US" storeType="OMEX"/>
  <we:alternateReferences>
    <we:reference id="wa200010725" version="1.0.0.1" store="WA200010725" storeType="OMEX"/>
  </we:alternateReferences>
  <we:properties>
    <we:property name="claude.fileId" value="&quot;f787dce7-6ccb-4236-af32-5c3a45168945&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hyperlink" Target="https://www.fifatrainingcentre.com/en/practice/talent-coach-programme/position-specific-training/developing-players-using-position-specific-training.php" TargetMode="External"/><Relationship Id="rId1" Type="http://schemas.openxmlformats.org/officeDocument/2006/relationships/hyperlink" Target="https://learn.englandfootball.com/articles-and-resources/coaching/resources/2023/Why-your-players-should-try-different-position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20"/>
  <sheetViews>
    <sheetView topLeftCell="A14" workbookViewId="0">
      <selection activeCell="B18" sqref="B18"/>
    </sheetView>
  </sheetViews>
  <sheetFormatPr defaultRowHeight="14.25"/>
  <cols>
    <col min="1" max="1" width="20" customWidth="1"/>
    <col min="2" max="2" width="22" customWidth="1"/>
    <col min="3" max="3" width="30" customWidth="1"/>
    <col min="4" max="5" width="20" customWidth="1"/>
    <col min="6" max="6" width="22" customWidth="1"/>
    <col min="7" max="8" width="24" customWidth="1"/>
  </cols>
  <sheetData>
    <row r="1" spans="1:26" ht="30" customHeight="1">
      <c r="A1" s="13" t="s">
        <v>0</v>
      </c>
      <c r="B1" s="13"/>
      <c r="C1" s="13"/>
      <c r="D1" s="13"/>
      <c r="E1" s="13"/>
      <c r="F1" s="13"/>
      <c r="G1" s="13"/>
      <c r="H1" s="13"/>
      <c r="I1" s="2"/>
      <c r="J1" s="2"/>
      <c r="K1" s="2"/>
      <c r="L1" s="2"/>
      <c r="M1" s="2"/>
      <c r="N1" s="2"/>
      <c r="O1" s="2"/>
      <c r="P1" s="2"/>
      <c r="Q1" s="2"/>
      <c r="R1" s="2"/>
      <c r="S1" s="2"/>
      <c r="T1" s="2"/>
      <c r="U1" s="2"/>
      <c r="V1" s="2"/>
      <c r="W1" s="2"/>
      <c r="X1" s="2"/>
      <c r="Y1" s="2"/>
      <c r="Z1" s="2"/>
    </row>
    <row r="2" spans="1:26">
      <c r="A2" s="2"/>
      <c r="B2" s="2"/>
      <c r="C2" s="2"/>
      <c r="D2" s="2"/>
      <c r="E2" s="2"/>
      <c r="F2" s="2"/>
      <c r="G2" s="2"/>
      <c r="H2" s="2"/>
      <c r="I2" s="2"/>
      <c r="J2" s="2"/>
      <c r="K2" s="2"/>
      <c r="L2" s="2"/>
      <c r="M2" s="2"/>
      <c r="N2" s="2"/>
      <c r="O2" s="2"/>
      <c r="P2" s="2"/>
      <c r="Q2" s="2"/>
      <c r="R2" s="2"/>
      <c r="S2" s="2"/>
      <c r="T2" s="2"/>
      <c r="U2" s="2"/>
      <c r="V2" s="2"/>
      <c r="W2" s="2"/>
      <c r="X2" s="2"/>
      <c r="Y2" s="2"/>
      <c r="Z2" s="2"/>
    </row>
    <row r="3" spans="1:26" ht="21.95" customHeight="1">
      <c r="A3" s="10" t="s">
        <v>1</v>
      </c>
      <c r="B3" s="2" t="s">
        <v>2</v>
      </c>
      <c r="C3" s="2"/>
      <c r="D3" s="14" t="s">
        <v>3</v>
      </c>
      <c r="E3" s="14"/>
      <c r="F3" s="14"/>
      <c r="G3" s="14"/>
      <c r="H3" s="14"/>
      <c r="I3" s="2"/>
      <c r="J3" s="2"/>
      <c r="K3" s="2"/>
      <c r="L3" s="2"/>
      <c r="M3" s="2"/>
      <c r="N3" s="2"/>
      <c r="O3" s="2"/>
      <c r="P3" s="2"/>
      <c r="Q3" s="2"/>
      <c r="R3" s="2"/>
      <c r="S3" s="2"/>
      <c r="T3" s="2"/>
      <c r="U3" s="2"/>
      <c r="V3" s="2"/>
      <c r="W3" s="2"/>
      <c r="X3" s="2"/>
      <c r="Y3" s="2"/>
      <c r="Z3" s="2"/>
    </row>
    <row r="4" spans="1:26" ht="80.099999999999994" customHeight="1">
      <c r="A4" s="10" t="s">
        <v>4</v>
      </c>
      <c r="B4" s="2" t="s">
        <v>5</v>
      </c>
      <c r="C4" s="2"/>
      <c r="D4" s="15" t="s">
        <v>6</v>
      </c>
      <c r="E4" s="15"/>
      <c r="F4" s="15"/>
      <c r="G4" s="15"/>
      <c r="H4" s="15"/>
      <c r="I4" s="2"/>
      <c r="J4" s="2"/>
      <c r="K4" s="2"/>
      <c r="L4" s="2"/>
      <c r="M4" s="2"/>
      <c r="N4" s="2"/>
      <c r="O4" s="2"/>
      <c r="P4" s="2"/>
      <c r="Q4" s="2"/>
      <c r="R4" s="2"/>
      <c r="S4" s="2"/>
      <c r="T4" s="2"/>
      <c r="U4" s="2"/>
      <c r="V4" s="2"/>
      <c r="W4" s="2"/>
      <c r="X4" s="2"/>
      <c r="Y4" s="2"/>
      <c r="Z4" s="2"/>
    </row>
    <row r="5" spans="1:26" ht="80.099999999999994" customHeight="1">
      <c r="A5" s="10" t="s">
        <v>7</v>
      </c>
      <c r="B5" s="2" t="s">
        <v>8</v>
      </c>
      <c r="C5" s="2"/>
      <c r="D5" s="15"/>
      <c r="E5" s="15"/>
      <c r="F5" s="15"/>
      <c r="G5" s="15"/>
      <c r="H5" s="15"/>
      <c r="I5" s="2"/>
      <c r="J5" s="2"/>
      <c r="K5" s="2"/>
      <c r="L5" s="2"/>
      <c r="M5" s="2"/>
      <c r="N5" s="2"/>
      <c r="O5" s="2"/>
      <c r="P5" s="2"/>
      <c r="Q5" s="2"/>
      <c r="R5" s="2"/>
      <c r="S5" s="2"/>
      <c r="T5" s="2"/>
      <c r="U5" s="2"/>
      <c r="V5" s="2"/>
      <c r="W5" s="2"/>
      <c r="X5" s="2"/>
      <c r="Y5" s="2"/>
      <c r="Z5" s="2"/>
    </row>
    <row r="6" spans="1:26" ht="80.099999999999994" customHeight="1">
      <c r="A6" s="10" t="s">
        <v>9</v>
      </c>
      <c r="B6" s="2" t="s">
        <v>10</v>
      </c>
      <c r="C6" s="2"/>
      <c r="D6" s="15"/>
      <c r="E6" s="15"/>
      <c r="F6" s="15"/>
      <c r="G6" s="15"/>
      <c r="H6" s="15"/>
      <c r="I6" s="2"/>
      <c r="J6" s="2"/>
      <c r="K6" s="2"/>
      <c r="L6" s="2"/>
      <c r="M6" s="2"/>
      <c r="N6" s="2"/>
      <c r="O6" s="2"/>
      <c r="P6" s="2"/>
      <c r="Q6" s="2"/>
      <c r="R6" s="2"/>
      <c r="S6" s="2"/>
      <c r="T6" s="2"/>
      <c r="U6" s="2"/>
      <c r="V6" s="2"/>
      <c r="W6" s="2"/>
      <c r="X6" s="2"/>
      <c r="Y6" s="2"/>
      <c r="Z6" s="2"/>
    </row>
    <row r="7" spans="1:26" ht="80.099999999999994" customHeight="1">
      <c r="A7" s="2"/>
      <c r="B7" s="2"/>
      <c r="C7" s="2"/>
      <c r="D7" s="15"/>
      <c r="E7" s="15"/>
      <c r="F7" s="15"/>
      <c r="G7" s="15"/>
      <c r="H7" s="15"/>
      <c r="I7" s="2"/>
      <c r="J7" s="2"/>
      <c r="K7" s="2"/>
      <c r="L7" s="2"/>
      <c r="M7" s="2"/>
      <c r="N7" s="2"/>
      <c r="O7" s="2"/>
      <c r="P7" s="2"/>
      <c r="Q7" s="2"/>
      <c r="R7" s="2"/>
      <c r="S7" s="2"/>
      <c r="T7" s="2"/>
      <c r="U7" s="2"/>
      <c r="V7" s="2"/>
      <c r="W7" s="2"/>
      <c r="X7" s="2"/>
      <c r="Y7" s="2"/>
      <c r="Z7" s="2"/>
    </row>
    <row r="8" spans="1:26" ht="80.099999999999994" customHeight="1">
      <c r="A8" s="2"/>
      <c r="B8" s="2"/>
      <c r="C8" s="2"/>
      <c r="D8" s="15"/>
      <c r="E8" s="15"/>
      <c r="F8" s="15"/>
      <c r="G8" s="15"/>
      <c r="H8" s="15"/>
      <c r="I8" s="2"/>
      <c r="J8" s="2"/>
      <c r="K8" s="2"/>
      <c r="L8" s="2"/>
      <c r="M8" s="2"/>
      <c r="N8" s="2"/>
      <c r="O8" s="2"/>
      <c r="P8" s="2"/>
      <c r="Q8" s="2"/>
      <c r="R8" s="2"/>
      <c r="S8" s="2"/>
      <c r="T8" s="2"/>
      <c r="U8" s="2"/>
      <c r="V8" s="2"/>
      <c r="W8" s="2"/>
      <c r="X8" s="2"/>
      <c r="Y8" s="2"/>
      <c r="Z8" s="2"/>
    </row>
    <row r="9" spans="1:26" ht="21.95" customHeight="1">
      <c r="A9" s="14" t="s">
        <v>11</v>
      </c>
      <c r="B9" s="14"/>
      <c r="C9" s="14"/>
      <c r="D9" s="14"/>
      <c r="E9" s="14"/>
      <c r="F9" s="14"/>
      <c r="G9" s="14"/>
      <c r="H9" s="14"/>
      <c r="I9" s="2"/>
      <c r="J9" s="2"/>
      <c r="K9" s="2"/>
      <c r="L9" s="2"/>
      <c r="M9" s="2"/>
      <c r="N9" s="2"/>
      <c r="O9" s="2"/>
      <c r="P9" s="2"/>
      <c r="Q9" s="2"/>
      <c r="R9" s="2"/>
      <c r="S9" s="2"/>
      <c r="T9" s="2"/>
      <c r="U9" s="2"/>
      <c r="V9" s="2"/>
      <c r="W9" s="2"/>
      <c r="X9" s="2"/>
      <c r="Y9" s="2"/>
      <c r="Z9" s="2"/>
    </row>
    <row r="10" spans="1:26" ht="15">
      <c r="A10" s="1" t="s">
        <v>12</v>
      </c>
      <c r="B10" s="1" t="s">
        <v>13</v>
      </c>
      <c r="C10" s="1" t="s">
        <v>14</v>
      </c>
      <c r="D10" s="1"/>
      <c r="E10" s="1" t="s">
        <v>15</v>
      </c>
      <c r="F10" s="1" t="s">
        <v>16</v>
      </c>
      <c r="G10" s="1" t="s">
        <v>17</v>
      </c>
      <c r="H10" s="1" t="s">
        <v>18</v>
      </c>
      <c r="I10" s="2"/>
      <c r="J10" s="2"/>
      <c r="K10" s="2"/>
      <c r="L10" s="2"/>
      <c r="M10" s="2"/>
      <c r="N10" s="2"/>
      <c r="O10" s="2"/>
      <c r="P10" s="2"/>
      <c r="Q10" s="2"/>
      <c r="R10" s="2"/>
      <c r="S10" s="2"/>
      <c r="T10" s="2"/>
      <c r="U10" s="2"/>
      <c r="V10" s="2"/>
      <c r="W10" s="2"/>
      <c r="X10" s="2"/>
      <c r="Y10" s="2"/>
      <c r="Z10" s="2"/>
    </row>
    <row r="11" spans="1:26">
      <c r="A11" s="2" t="s">
        <v>19</v>
      </c>
      <c r="B11" s="3">
        <f>'Weekly Plan'!B14</f>
        <v>375</v>
      </c>
      <c r="C11" s="2" t="s">
        <v>20</v>
      </c>
      <c r="D11" s="2"/>
      <c r="E11" s="2" t="s">
        <v>21</v>
      </c>
      <c r="F11" s="2" t="s">
        <v>22</v>
      </c>
      <c r="G11" s="2" t="s">
        <v>23</v>
      </c>
      <c r="H11" s="3" t="str">
        <f>IF(B11&gt;=300,"OK","Low")</f>
        <v>OK</v>
      </c>
      <c r="I11" s="2"/>
      <c r="J11" s="2"/>
      <c r="K11" s="2"/>
      <c r="L11" s="2"/>
      <c r="M11" s="2"/>
      <c r="N11" s="2"/>
      <c r="O11" s="2"/>
      <c r="P11" s="2"/>
      <c r="Q11" s="2"/>
      <c r="R11" s="2"/>
      <c r="S11" s="2"/>
      <c r="T11" s="2"/>
      <c r="U11" s="2"/>
      <c r="V11" s="2"/>
      <c r="W11" s="2"/>
      <c r="X11" s="2"/>
      <c r="Y11" s="2"/>
      <c r="Z11" s="2"/>
    </row>
    <row r="12" spans="1:26">
      <c r="A12" s="2" t="s">
        <v>24</v>
      </c>
      <c r="B12" s="3">
        <f>'Weekly Plan'!B15</f>
        <v>2615</v>
      </c>
      <c r="C12" s="2" t="s">
        <v>25</v>
      </c>
      <c r="D12" s="2"/>
      <c r="E12" s="2" t="s">
        <v>26</v>
      </c>
      <c r="F12" s="2" t="s">
        <v>27</v>
      </c>
      <c r="G12" s="2" t="s">
        <v>28</v>
      </c>
      <c r="H12" s="3" t="str">
        <f>IF(B12&gt;0,"Track","")</f>
        <v>Track</v>
      </c>
      <c r="I12" s="2"/>
      <c r="J12" s="2"/>
      <c r="K12" s="2"/>
      <c r="L12" s="2"/>
      <c r="M12" s="2"/>
      <c r="N12" s="2"/>
      <c r="O12" s="2"/>
      <c r="P12" s="2"/>
      <c r="Q12" s="2"/>
      <c r="R12" s="2"/>
      <c r="S12" s="2"/>
      <c r="T12" s="2"/>
      <c r="U12" s="2"/>
      <c r="V12" s="2"/>
      <c r="W12" s="2"/>
      <c r="X12" s="2"/>
      <c r="Y12" s="2"/>
      <c r="Z12" s="2"/>
    </row>
    <row r="13" spans="1:26">
      <c r="A13" s="2" t="s">
        <v>29</v>
      </c>
      <c r="B13" s="3">
        <f>'Weekly Plan'!B16</f>
        <v>2</v>
      </c>
      <c r="C13" s="2" t="s">
        <v>30</v>
      </c>
      <c r="D13" s="2"/>
      <c r="E13" s="2" t="s">
        <v>31</v>
      </c>
      <c r="F13" s="2" t="s">
        <v>32</v>
      </c>
      <c r="G13" s="2" t="s">
        <v>33</v>
      </c>
      <c r="H13" s="3" t="str">
        <f>IF(B13&lt;=2,"OK","Too Many")</f>
        <v>OK</v>
      </c>
      <c r="I13" s="2"/>
      <c r="J13" s="2"/>
      <c r="K13" s="2"/>
      <c r="L13" s="2"/>
      <c r="M13" s="2"/>
      <c r="N13" s="2"/>
      <c r="O13" s="2"/>
      <c r="P13" s="2"/>
      <c r="Q13" s="2"/>
      <c r="R13" s="2"/>
      <c r="S13" s="2"/>
      <c r="T13" s="2"/>
      <c r="U13" s="2"/>
      <c r="V13" s="2"/>
      <c r="W13" s="2"/>
      <c r="X13" s="2"/>
      <c r="Y13" s="2"/>
      <c r="Z13" s="2"/>
    </row>
    <row r="14" spans="1:26">
      <c r="A14" s="2" t="s">
        <v>34</v>
      </c>
      <c r="B14" s="3">
        <f>'Weekly Plan'!B17</f>
        <v>1</v>
      </c>
      <c r="C14" s="2" t="s">
        <v>35</v>
      </c>
      <c r="D14" s="2"/>
      <c r="E14" s="2" t="s">
        <v>36</v>
      </c>
      <c r="F14" s="2" t="s">
        <v>37</v>
      </c>
      <c r="G14" s="2" t="s">
        <v>38</v>
      </c>
      <c r="H14" s="3" t="str">
        <f>IF(B14&gt;=1,"OK","Need Rest")</f>
        <v>OK</v>
      </c>
      <c r="I14" s="2"/>
      <c r="J14" s="2"/>
      <c r="K14" s="2"/>
      <c r="L14" s="2"/>
      <c r="M14" s="2"/>
      <c r="N14" s="2"/>
      <c r="O14" s="2"/>
      <c r="P14" s="2"/>
      <c r="Q14" s="2"/>
      <c r="R14" s="2"/>
      <c r="S14" s="2"/>
      <c r="T14" s="2"/>
      <c r="U14" s="2"/>
      <c r="V14" s="2"/>
      <c r="W14" s="2"/>
      <c r="X14" s="2"/>
      <c r="Y14" s="2"/>
      <c r="Z14" s="2"/>
    </row>
    <row r="15" spans="1:26">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21.95" customHeight="1">
      <c r="A16" s="14" t="s">
        <v>39</v>
      </c>
      <c r="B16" s="14"/>
      <c r="C16" s="14"/>
      <c r="D16" s="14"/>
      <c r="E16" s="14"/>
      <c r="F16" s="14"/>
      <c r="G16" s="14"/>
      <c r="H16" s="14"/>
      <c r="I16" s="2"/>
      <c r="J16" s="2"/>
      <c r="K16" s="2"/>
      <c r="L16" s="2"/>
      <c r="M16" s="2"/>
      <c r="N16" s="2"/>
      <c r="O16" s="2"/>
      <c r="P16" s="2"/>
      <c r="Q16" s="2"/>
      <c r="R16" s="2"/>
      <c r="S16" s="2"/>
      <c r="T16" s="2"/>
      <c r="U16" s="2"/>
      <c r="V16" s="2"/>
      <c r="W16" s="2"/>
      <c r="X16" s="2"/>
      <c r="Y16" s="2"/>
      <c r="Z16" s="2"/>
    </row>
    <row r="17" spans="1:26" ht="15">
      <c r="A17" s="1" t="s">
        <v>12</v>
      </c>
      <c r="B17" s="1" t="s">
        <v>40</v>
      </c>
      <c r="C17" s="1" t="s">
        <v>41</v>
      </c>
      <c r="D17" s="1" t="s">
        <v>42</v>
      </c>
      <c r="E17" s="1" t="s">
        <v>12</v>
      </c>
      <c r="F17" s="1" t="s">
        <v>40</v>
      </c>
      <c r="G17" s="1" t="s">
        <v>41</v>
      </c>
      <c r="H17" s="1" t="s">
        <v>42</v>
      </c>
      <c r="I17" s="2"/>
      <c r="J17" s="2"/>
      <c r="K17" s="2"/>
      <c r="L17" s="2"/>
      <c r="M17" s="2"/>
      <c r="N17" s="2"/>
      <c r="O17" s="2"/>
      <c r="P17" s="2"/>
      <c r="Q17" s="2"/>
      <c r="R17" s="2"/>
      <c r="S17" s="2"/>
      <c r="T17" s="2"/>
      <c r="U17" s="2"/>
      <c r="V17" s="2"/>
      <c r="W17" s="2"/>
      <c r="X17" s="2"/>
      <c r="Y17" s="2"/>
      <c r="Z17" s="2"/>
    </row>
    <row r="18" spans="1:26">
      <c r="A18" s="2" t="s">
        <v>43</v>
      </c>
      <c r="B18" s="3" t="str">
        <f>IFERROR(LOOKUP(2,1/('Score Tracker'!C6:C17&lt;&gt;""),'Score Tracker'!C6:C17),"")</f>
        <v/>
      </c>
      <c r="C18" s="2" t="s">
        <v>44</v>
      </c>
      <c r="D18" s="3" t="str">
        <f>IF(B18="","",IF(B18&gt;=80,"Strong","Build touch volume"))</f>
        <v/>
      </c>
      <c r="E18" s="2" t="s">
        <v>45</v>
      </c>
      <c r="F18" s="11" t="str">
        <f>IFERROR(LOOKUP(2,1/('Score Tracker'!G6:G17&lt;&gt;""),'Score Tracker'!G6:G17),"")</f>
        <v/>
      </c>
      <c r="G18" s="2" t="s">
        <v>46</v>
      </c>
      <c r="H18" s="3" t="str">
        <f>IF(F18="","",IF(F18&gt;=0.7,"Strong","Movement + target finish"))</f>
        <v/>
      </c>
      <c r="I18" s="2"/>
      <c r="J18" s="2"/>
      <c r="K18" s="2"/>
      <c r="L18" s="2"/>
      <c r="M18" s="2"/>
      <c r="N18" s="2"/>
      <c r="O18" s="2"/>
      <c r="P18" s="2"/>
      <c r="Q18" s="2"/>
      <c r="R18" s="2"/>
      <c r="S18" s="2"/>
      <c r="T18" s="2"/>
      <c r="U18" s="2"/>
      <c r="V18" s="2"/>
      <c r="W18" s="2"/>
      <c r="X18" s="2"/>
      <c r="Y18" s="2"/>
      <c r="Z18" s="2"/>
    </row>
    <row r="19" spans="1:26">
      <c r="A19" s="2" t="s">
        <v>47</v>
      </c>
      <c r="B19" s="3" t="str">
        <f>IFERROR(LOOKUP(2,1/('Score Tracker'!D6:D17&lt;&gt;""),'Score Tracker'!D6:D17),"")</f>
        <v/>
      </c>
      <c r="C19" s="2" t="s">
        <v>48</v>
      </c>
      <c r="D19" s="3" t="str">
        <f>IF(B19="","",IF(B19&gt;=100,"Strong","Daily weak foot"))</f>
        <v/>
      </c>
      <c r="E19" s="2" t="s">
        <v>49</v>
      </c>
      <c r="F19" s="11" t="str">
        <f>IFERROR(LOOKUP(2,1/('Score Tracker'!H6:H17&lt;&gt;""),'Score Tracker'!H6:H17),"")</f>
        <v/>
      </c>
      <c r="G19" s="2" t="s">
        <v>50</v>
      </c>
      <c r="H19" s="3" t="str">
        <f>IF(F19="","",IF(F19&gt;=0.6,"Strong","Defending body shape"))</f>
        <v/>
      </c>
      <c r="I19" s="2"/>
      <c r="J19" s="2"/>
      <c r="K19" s="2"/>
      <c r="L19" s="2"/>
      <c r="M19" s="2"/>
      <c r="N19" s="2"/>
      <c r="O19" s="2"/>
      <c r="P19" s="2"/>
      <c r="Q19" s="2"/>
      <c r="R19" s="2"/>
      <c r="S19" s="2"/>
      <c r="T19" s="2"/>
      <c r="U19" s="2"/>
      <c r="V19" s="2"/>
      <c r="W19" s="2"/>
      <c r="X19" s="2"/>
      <c r="Y19" s="2"/>
      <c r="Z19" s="2"/>
    </row>
    <row r="20" spans="1:26">
      <c r="A20" s="2" t="s">
        <v>51</v>
      </c>
      <c r="B20" s="12" t="str">
        <f>IFERROR(LOOKUP(2,1/('Score Tracker'!E6:E17&lt;&gt;""),'Score Tracker'!E6:E17),"")</f>
        <v/>
      </c>
      <c r="C20" s="2" t="s">
        <v>52</v>
      </c>
      <c r="D20" s="3" t="str">
        <f>IF(B20="","",IF(B20&lt;=2.2,"Fast","Sprint mechanics"))</f>
        <v/>
      </c>
      <c r="E20" s="2" t="s">
        <v>53</v>
      </c>
      <c r="F20" s="11" t="str">
        <f>IFERROR(LOOKUP(2,1/('Score Tracker'!I6:I17&lt;&gt;""),'Score Tracker'!I6:I17),"")</f>
        <v/>
      </c>
      <c r="G20" s="2" t="s">
        <v>50</v>
      </c>
      <c r="H20" s="3" t="str">
        <f>IF(F20="","",IF(F20&gt;=0.6,"Strong","One move then explode"))</f>
        <v/>
      </c>
      <c r="I20" s="2"/>
      <c r="J20" s="2"/>
      <c r="K20" s="2"/>
      <c r="L20" s="2"/>
      <c r="M20" s="2"/>
      <c r="N20" s="2"/>
      <c r="O20" s="2"/>
      <c r="P20" s="2"/>
      <c r="Q20" s="2"/>
      <c r="R20" s="2"/>
      <c r="S20" s="2"/>
      <c r="T20" s="2"/>
      <c r="U20" s="2"/>
      <c r="V20" s="2"/>
      <c r="W20" s="2"/>
      <c r="X20" s="2"/>
      <c r="Y20" s="2"/>
      <c r="Z20" s="2"/>
    </row>
    <row r="21" spans="1:26">
      <c r="A21" s="2" t="s">
        <v>21</v>
      </c>
      <c r="B21" s="3" t="str">
        <f>IFERROR(LOOKUP(2,1/('Score Tracker'!J6:J17&lt;&gt;""),'Score Tracker'!J6:J17),"")</f>
        <v/>
      </c>
      <c r="C21" s="2" t="s">
        <v>54</v>
      </c>
      <c r="D21" s="3" t="str">
        <f>IF(B21="","",IF(B21&gt;=8,"Strong","Scan before touch"))</f>
        <v/>
      </c>
      <c r="E21" s="2" t="s">
        <v>55</v>
      </c>
      <c r="F21" s="3" t="str">
        <f>IFERROR(LOOKUP(2,1/('Score Tracker'!O6:O17&lt;&gt;""),'Score Tracker'!O6:O17),"")</f>
        <v/>
      </c>
      <c r="G21" s="2" t="s">
        <v>44</v>
      </c>
      <c r="H21" s="3" t="str">
        <f>IF(F21="","",IF(F21&gt;=80,"Strong","Review Improvement Focus"))</f>
        <v/>
      </c>
      <c r="I21" s="2"/>
      <c r="J21" s="2"/>
      <c r="K21" s="2"/>
      <c r="L21" s="2"/>
      <c r="M21" s="2"/>
      <c r="N21" s="2"/>
      <c r="O21" s="2"/>
      <c r="P21" s="2"/>
      <c r="Q21" s="2"/>
      <c r="R21" s="2"/>
      <c r="S21" s="2"/>
      <c r="T21" s="2"/>
      <c r="U21" s="2"/>
      <c r="V21" s="2"/>
      <c r="W21" s="2"/>
      <c r="X21" s="2"/>
      <c r="Y21" s="2"/>
      <c r="Z21" s="2"/>
    </row>
    <row r="22" spans="1:26">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21.95" customHeight="1">
      <c r="A23" s="14" t="s">
        <v>56</v>
      </c>
      <c r="B23" s="14"/>
      <c r="C23" s="14"/>
      <c r="D23" s="14"/>
      <c r="E23" s="14"/>
      <c r="F23" s="14"/>
      <c r="G23" s="14"/>
      <c r="H23" s="14"/>
      <c r="I23" s="2"/>
      <c r="J23" s="2"/>
      <c r="K23" s="2"/>
      <c r="L23" s="2"/>
      <c r="M23" s="2"/>
      <c r="N23" s="2"/>
      <c r="O23" s="2"/>
      <c r="P23" s="2"/>
      <c r="Q23" s="2"/>
      <c r="R23" s="2"/>
      <c r="S23" s="2"/>
      <c r="T23" s="2"/>
      <c r="U23" s="2"/>
      <c r="V23" s="2"/>
      <c r="W23" s="2"/>
      <c r="X23" s="2"/>
      <c r="Y23" s="2"/>
      <c r="Z23" s="2"/>
    </row>
    <row r="24" spans="1:26" ht="28.5">
      <c r="A24" s="2" t="s">
        <v>57</v>
      </c>
      <c r="B24" s="2" t="s">
        <v>58</v>
      </c>
      <c r="C24" s="2" t="s">
        <v>59</v>
      </c>
      <c r="D24" s="2"/>
      <c r="E24" s="2"/>
      <c r="F24" s="2"/>
      <c r="G24" s="2"/>
      <c r="H24" s="2"/>
      <c r="I24" s="2"/>
      <c r="J24" s="2"/>
      <c r="K24" s="2"/>
      <c r="L24" s="2"/>
      <c r="M24" s="2"/>
      <c r="N24" s="2"/>
      <c r="O24" s="2"/>
      <c r="P24" s="2"/>
      <c r="Q24" s="2"/>
      <c r="R24" s="2"/>
      <c r="S24" s="2"/>
      <c r="T24" s="2"/>
      <c r="U24" s="2"/>
      <c r="V24" s="2"/>
      <c r="W24" s="2"/>
      <c r="X24" s="2"/>
      <c r="Y24" s="2"/>
      <c r="Z24" s="2"/>
    </row>
    <row r="25" spans="1:26" ht="42.75">
      <c r="A25" s="2" t="s">
        <v>60</v>
      </c>
      <c r="B25" s="2" t="s">
        <v>61</v>
      </c>
      <c r="C25" s="2" t="s">
        <v>62</v>
      </c>
      <c r="D25" s="2"/>
      <c r="E25" s="2"/>
      <c r="F25" s="2"/>
      <c r="G25" s="2"/>
      <c r="H25" s="2"/>
      <c r="I25" s="2"/>
      <c r="J25" s="2"/>
      <c r="K25" s="2"/>
      <c r="L25" s="2"/>
      <c r="M25" s="2"/>
      <c r="N25" s="2"/>
      <c r="O25" s="2"/>
      <c r="P25" s="2"/>
      <c r="Q25" s="2"/>
      <c r="R25" s="2"/>
      <c r="S25" s="2"/>
      <c r="T25" s="2"/>
      <c r="U25" s="2"/>
      <c r="V25" s="2"/>
      <c r="W25" s="2"/>
      <c r="X25" s="2"/>
      <c r="Y25" s="2"/>
      <c r="Z25" s="2"/>
    </row>
    <row r="26" spans="1:26" ht="28.5">
      <c r="A26" s="2" t="s">
        <v>63</v>
      </c>
      <c r="B26" s="2" t="s">
        <v>64</v>
      </c>
      <c r="C26" s="2" t="s">
        <v>65</v>
      </c>
      <c r="D26" s="2"/>
      <c r="E26" s="2"/>
      <c r="F26" s="2"/>
      <c r="G26" s="2"/>
      <c r="H26" s="2"/>
      <c r="I26" s="2"/>
      <c r="J26" s="2"/>
      <c r="K26" s="2"/>
      <c r="L26" s="2"/>
      <c r="M26" s="2"/>
      <c r="N26" s="2"/>
      <c r="O26" s="2"/>
      <c r="P26" s="2"/>
      <c r="Q26" s="2"/>
      <c r="R26" s="2"/>
      <c r="S26" s="2"/>
      <c r="T26" s="2"/>
      <c r="U26" s="2"/>
      <c r="V26" s="2"/>
      <c r="W26" s="2"/>
      <c r="X26" s="2"/>
      <c r="Y26" s="2"/>
      <c r="Z26" s="2"/>
    </row>
    <row r="27" spans="1:26">
      <c r="A27" s="2" t="s">
        <v>66</v>
      </c>
      <c r="B27" s="2" t="s">
        <v>67</v>
      </c>
      <c r="C27" s="2" t="s">
        <v>68</v>
      </c>
      <c r="D27" s="2"/>
      <c r="E27" s="2"/>
      <c r="F27" s="2"/>
      <c r="G27" s="2"/>
      <c r="H27" s="2"/>
      <c r="I27" s="2"/>
      <c r="J27" s="2"/>
      <c r="K27" s="2"/>
      <c r="L27" s="2"/>
      <c r="M27" s="2"/>
      <c r="N27" s="2"/>
      <c r="O27" s="2"/>
      <c r="P27" s="2"/>
      <c r="Q27" s="2"/>
      <c r="R27" s="2"/>
      <c r="S27" s="2"/>
      <c r="T27" s="2"/>
      <c r="U27" s="2"/>
      <c r="V27" s="2"/>
      <c r="W27" s="2"/>
      <c r="X27" s="2"/>
      <c r="Y27" s="2"/>
      <c r="Z27" s="2"/>
    </row>
    <row r="28" spans="1:26" ht="28.5">
      <c r="A28" s="2" t="s">
        <v>69</v>
      </c>
      <c r="B28" s="2" t="s">
        <v>70</v>
      </c>
      <c r="C28" s="2" t="s">
        <v>71</v>
      </c>
      <c r="D28" s="2"/>
      <c r="E28" s="2"/>
      <c r="F28" s="2"/>
      <c r="G28" s="2"/>
      <c r="H28" s="2"/>
      <c r="I28" s="2"/>
      <c r="J28" s="2"/>
      <c r="K28" s="2"/>
      <c r="L28" s="2"/>
      <c r="M28" s="2"/>
      <c r="N28" s="2"/>
      <c r="O28" s="2"/>
      <c r="P28" s="2"/>
      <c r="Q28" s="2"/>
      <c r="R28" s="2"/>
      <c r="S28" s="2"/>
      <c r="T28" s="2"/>
      <c r="U28" s="2"/>
      <c r="V28" s="2"/>
      <c r="W28" s="2"/>
      <c r="X28" s="2"/>
      <c r="Y28" s="2"/>
      <c r="Z28" s="2"/>
    </row>
    <row r="29" spans="1:26">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sheetData>
  <mergeCells count="6">
    <mergeCell ref="A23:H23"/>
    <mergeCell ref="A1:H1"/>
    <mergeCell ref="D3:H3"/>
    <mergeCell ref="D4:H8"/>
    <mergeCell ref="A9:H9"/>
    <mergeCell ref="A16:H16"/>
  </mergeCells>
  <conditionalFormatting sqref="B18:B21">
    <cfRule type="dataBar" priority="3">
      <dataBar>
        <cfvo type="min"/>
        <cfvo type="max"/>
        <color rgb="FF1D4ED8"/>
      </dataBar>
    </cfRule>
    <cfRule type="dataBar" priority="5">
      <dataBar>
        <cfvo type="min"/>
        <cfvo type="max"/>
        <color rgb="FF1D4ED8"/>
      </dataBar>
      <extLst>
        <ext xmlns:x14="http://schemas.microsoft.com/office/spreadsheetml/2009/9/main" uri="{B025F937-C7B1-47D3-B67F-A62EFF666E3E}">
          <x14:id>{169BE573-5479-287D-BE93-74B15E11EBFA}</x14:id>
        </ext>
      </extLst>
    </cfRule>
  </conditionalFormatting>
  <conditionalFormatting sqref="F18:F21">
    <cfRule type="dataBar" priority="4">
      <dataBar>
        <cfvo type="min"/>
        <cfvo type="max"/>
        <color rgb="FF16A34A"/>
      </dataBar>
    </cfRule>
    <cfRule type="dataBar" priority="6">
      <dataBar>
        <cfvo type="min"/>
        <cfvo type="max"/>
        <color rgb="FF16A34A"/>
      </dataBar>
      <extLst>
        <ext xmlns:x14="http://schemas.microsoft.com/office/spreadsheetml/2009/9/main" uri="{B025F937-C7B1-47D3-B67F-A62EFF666E3E}">
          <x14:id>{C5593AA7-0028-5BEA-E3E0-8178783C1A47}</x14:id>
        </ext>
      </extLst>
    </cfRule>
  </conditionalFormatting>
  <conditionalFormatting sqref="H11:H14">
    <cfRule type="expression" dxfId="8" priority="1">
      <formula>H11="OK"</formula>
    </cfRule>
    <cfRule type="expression" dxfId="7" priority="2">
      <formula>OR(H11="Low",H11="Too Many",H11="Need Rest")</formula>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169BE573-5479-287D-BE93-74B15E11EBFA}">
            <x14:dataBar>
              <x14:cfvo type="min"/>
              <x14:cfvo type="max"/>
              <x14:negativeFillColor auto="1"/>
              <x14:axisColor auto="1"/>
            </x14:dataBar>
          </x14:cfRule>
          <xm:sqref>B18:B21</xm:sqref>
        </x14:conditionalFormatting>
        <x14:conditionalFormatting xmlns:xm="http://schemas.microsoft.com/office/excel/2006/main">
          <x14:cfRule type="dataBar" id="{C5593AA7-0028-5BEA-E3E0-8178783C1A47}">
            <x14:dataBar>
              <x14:cfvo type="min"/>
              <x14:cfvo type="max"/>
              <x14:negativeFillColor auto="1"/>
              <x14:axisColor auto="1"/>
            </x14:dataBar>
          </x14:cfRule>
          <xm:sqref>F18:F21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20"/>
  <sheetViews>
    <sheetView workbookViewId="0">
      <selection activeCell="C5" sqref="C5"/>
    </sheetView>
  </sheetViews>
  <sheetFormatPr defaultRowHeight="14.25"/>
  <cols>
    <col min="1" max="1" width="12" customWidth="1"/>
    <col min="2" max="2" width="20" customWidth="1"/>
    <col min="3" max="3" width="13" customWidth="1"/>
    <col min="4" max="4" width="12" customWidth="1"/>
    <col min="5" max="5" width="13" customWidth="1"/>
    <col min="6" max="6" width="12" customWidth="1"/>
    <col min="7" max="7" width="34" customWidth="1"/>
    <col min="8" max="8" width="14" customWidth="1"/>
    <col min="9" max="9" width="34" customWidth="1"/>
    <col min="10" max="10" width="36" customWidth="1"/>
  </cols>
  <sheetData>
    <row r="1" spans="1:26" ht="30" customHeight="1">
      <c r="A1" s="13" t="s">
        <v>72</v>
      </c>
      <c r="B1" s="13"/>
      <c r="C1" s="13"/>
      <c r="D1" s="13"/>
      <c r="E1" s="13"/>
      <c r="F1" s="13"/>
      <c r="G1" s="13"/>
      <c r="H1" s="13"/>
      <c r="I1" s="13"/>
      <c r="J1" s="13"/>
      <c r="K1" s="2"/>
      <c r="L1" s="2"/>
      <c r="M1" s="2"/>
      <c r="N1" s="2"/>
      <c r="O1" s="2"/>
      <c r="P1" s="2"/>
      <c r="Q1" s="2"/>
      <c r="R1" s="2"/>
      <c r="S1" s="2"/>
      <c r="T1" s="2"/>
      <c r="U1" s="2"/>
      <c r="V1" s="2"/>
      <c r="W1" s="2"/>
      <c r="X1" s="2"/>
      <c r="Y1" s="2"/>
      <c r="Z1" s="2"/>
    </row>
    <row r="2" spans="1:26" ht="42" customHeight="1">
      <c r="A2" s="15" t="s">
        <v>73</v>
      </c>
      <c r="B2" s="15"/>
      <c r="C2" s="15"/>
      <c r="D2" s="15"/>
      <c r="E2" s="15"/>
      <c r="F2" s="15"/>
      <c r="G2" s="15"/>
      <c r="H2" s="15"/>
      <c r="I2" s="15"/>
      <c r="J2" s="15"/>
      <c r="K2" s="2"/>
      <c r="L2" s="2"/>
      <c r="M2" s="2"/>
      <c r="N2" s="2"/>
      <c r="O2" s="2"/>
      <c r="P2" s="2"/>
      <c r="Q2" s="2"/>
      <c r="R2" s="2"/>
      <c r="S2" s="2"/>
      <c r="T2" s="2"/>
      <c r="U2" s="2"/>
      <c r="V2" s="2"/>
      <c r="W2" s="2"/>
      <c r="X2" s="2"/>
      <c r="Y2" s="2"/>
      <c r="Z2" s="2"/>
    </row>
    <row r="3" spans="1:26">
      <c r="A3" s="2"/>
      <c r="B3" s="2"/>
      <c r="C3" s="2"/>
      <c r="D3" s="2"/>
      <c r="E3" s="2"/>
      <c r="F3" s="2"/>
      <c r="G3" s="2"/>
      <c r="H3" s="2"/>
      <c r="I3" s="2"/>
      <c r="J3" s="2"/>
      <c r="K3" s="2"/>
      <c r="L3" s="2"/>
      <c r="M3" s="2"/>
      <c r="N3" s="2"/>
      <c r="O3" s="2"/>
      <c r="P3" s="2"/>
      <c r="Q3" s="2"/>
      <c r="R3" s="2"/>
      <c r="S3" s="2"/>
      <c r="T3" s="2"/>
      <c r="U3" s="2"/>
      <c r="V3" s="2"/>
      <c r="W3" s="2"/>
      <c r="X3" s="2"/>
      <c r="Y3" s="2"/>
      <c r="Z3" s="2"/>
    </row>
    <row r="4" spans="1:26" ht="30">
      <c r="A4" s="1" t="s">
        <v>74</v>
      </c>
      <c r="B4" s="1" t="s">
        <v>75</v>
      </c>
      <c r="C4" s="1" t="s">
        <v>76</v>
      </c>
      <c r="D4" s="1" t="s">
        <v>77</v>
      </c>
      <c r="E4" s="1" t="s">
        <v>78</v>
      </c>
      <c r="F4" s="1" t="s">
        <v>79</v>
      </c>
      <c r="G4" s="1" t="s">
        <v>80</v>
      </c>
      <c r="H4" s="1" t="s">
        <v>81</v>
      </c>
      <c r="I4" s="1" t="s">
        <v>82</v>
      </c>
      <c r="J4" s="1" t="s">
        <v>83</v>
      </c>
      <c r="K4" s="2"/>
      <c r="L4" s="2"/>
      <c r="M4" s="2"/>
      <c r="N4" s="2"/>
      <c r="O4" s="2"/>
      <c r="P4" s="2"/>
      <c r="Q4" s="2"/>
      <c r="R4" s="2"/>
      <c r="S4" s="2"/>
      <c r="T4" s="2"/>
      <c r="U4" s="2"/>
      <c r="V4" s="2"/>
      <c r="W4" s="2"/>
      <c r="X4" s="2"/>
      <c r="Y4" s="2"/>
      <c r="Z4" s="2"/>
    </row>
    <row r="5" spans="1:26" ht="28.5">
      <c r="A5" s="2" t="s">
        <v>84</v>
      </c>
      <c r="B5" s="2" t="s">
        <v>85</v>
      </c>
      <c r="C5" s="2">
        <v>65</v>
      </c>
      <c r="D5" s="2">
        <v>6</v>
      </c>
      <c r="E5" s="2">
        <f t="shared" ref="E5:E11" si="0">IF(OR(C5="",D5=""),"",C5*D5)</f>
        <v>390</v>
      </c>
      <c r="F5" s="2" t="s">
        <v>86</v>
      </c>
      <c r="G5" s="2" t="s">
        <v>87</v>
      </c>
      <c r="H5" s="2" t="s">
        <v>88</v>
      </c>
      <c r="I5" s="2" t="s">
        <v>89</v>
      </c>
      <c r="J5" s="2" t="s">
        <v>90</v>
      </c>
      <c r="K5" s="2"/>
      <c r="L5" s="2"/>
      <c r="M5" s="2"/>
      <c r="N5" s="2"/>
      <c r="O5" s="2"/>
      <c r="P5" s="2"/>
      <c r="Q5" s="2"/>
      <c r="R5" s="2"/>
      <c r="S5" s="2"/>
      <c r="T5" s="2"/>
      <c r="U5" s="2"/>
      <c r="V5" s="2"/>
      <c r="W5" s="2"/>
      <c r="X5" s="2"/>
      <c r="Y5" s="2"/>
      <c r="Z5" s="2"/>
    </row>
    <row r="6" spans="1:26" ht="28.5">
      <c r="A6" s="2" t="s">
        <v>91</v>
      </c>
      <c r="B6" s="2" t="s">
        <v>92</v>
      </c>
      <c r="C6" s="2">
        <v>90</v>
      </c>
      <c r="D6" s="2">
        <v>7</v>
      </c>
      <c r="E6" s="2">
        <f t="shared" si="0"/>
        <v>630</v>
      </c>
      <c r="F6" s="2" t="s">
        <v>93</v>
      </c>
      <c r="G6" s="2" t="s">
        <v>94</v>
      </c>
      <c r="H6" s="2" t="s">
        <v>95</v>
      </c>
      <c r="I6" s="2" t="s">
        <v>96</v>
      </c>
      <c r="J6" s="2" t="s">
        <v>97</v>
      </c>
      <c r="K6" s="2"/>
      <c r="L6" s="2"/>
      <c r="M6" s="2"/>
      <c r="N6" s="2"/>
      <c r="O6" s="2"/>
      <c r="P6" s="2"/>
      <c r="Q6" s="2"/>
      <c r="R6" s="2"/>
      <c r="S6" s="2"/>
      <c r="T6" s="2"/>
      <c r="U6" s="2"/>
      <c r="V6" s="2"/>
      <c r="W6" s="2"/>
      <c r="X6" s="2"/>
      <c r="Y6" s="2"/>
      <c r="Z6" s="2"/>
    </row>
    <row r="7" spans="1:26" ht="28.5">
      <c r="A7" s="2" t="s">
        <v>98</v>
      </c>
      <c r="B7" s="2" t="s">
        <v>99</v>
      </c>
      <c r="C7" s="2">
        <v>60</v>
      </c>
      <c r="D7" s="2">
        <v>8</v>
      </c>
      <c r="E7" s="2">
        <f t="shared" si="0"/>
        <v>480</v>
      </c>
      <c r="F7" s="2" t="s">
        <v>93</v>
      </c>
      <c r="G7" s="2" t="s">
        <v>100</v>
      </c>
      <c r="H7" s="2" t="s">
        <v>101</v>
      </c>
      <c r="I7" s="2" t="s">
        <v>102</v>
      </c>
      <c r="J7" s="2" t="s">
        <v>103</v>
      </c>
      <c r="K7" s="2"/>
      <c r="L7" s="2"/>
      <c r="M7" s="2"/>
      <c r="N7" s="2"/>
      <c r="O7" s="2"/>
      <c r="P7" s="2"/>
      <c r="Q7" s="2"/>
      <c r="R7" s="2"/>
      <c r="S7" s="2"/>
      <c r="T7" s="2"/>
      <c r="U7" s="2"/>
      <c r="V7" s="2"/>
      <c r="W7" s="2"/>
      <c r="X7" s="2"/>
      <c r="Y7" s="2"/>
      <c r="Z7" s="2"/>
    </row>
    <row r="8" spans="1:26" ht="28.5">
      <c r="A8" s="2" t="s">
        <v>104</v>
      </c>
      <c r="B8" s="2" t="s">
        <v>105</v>
      </c>
      <c r="C8" s="2">
        <v>20</v>
      </c>
      <c r="D8" s="2">
        <v>3</v>
      </c>
      <c r="E8" s="2">
        <f t="shared" si="0"/>
        <v>60</v>
      </c>
      <c r="F8" s="2" t="s">
        <v>106</v>
      </c>
      <c r="G8" s="2" t="s">
        <v>107</v>
      </c>
      <c r="H8" s="2" t="s">
        <v>108</v>
      </c>
      <c r="I8" s="2" t="s">
        <v>109</v>
      </c>
      <c r="J8" s="2" t="s">
        <v>110</v>
      </c>
      <c r="K8" s="2"/>
      <c r="L8" s="2"/>
      <c r="M8" s="2"/>
      <c r="N8" s="2"/>
      <c r="O8" s="2"/>
      <c r="P8" s="2"/>
      <c r="Q8" s="2"/>
      <c r="R8" s="2"/>
      <c r="S8" s="2"/>
      <c r="T8" s="2"/>
      <c r="U8" s="2"/>
      <c r="V8" s="2"/>
      <c r="W8" s="2"/>
      <c r="X8" s="2"/>
      <c r="Y8" s="2"/>
      <c r="Z8" s="2"/>
    </row>
    <row r="9" spans="1:26" ht="28.5">
      <c r="A9" s="2" t="s">
        <v>111</v>
      </c>
      <c r="B9" s="2" t="s">
        <v>112</v>
      </c>
      <c r="C9" s="2">
        <v>65</v>
      </c>
      <c r="D9" s="2">
        <v>7</v>
      </c>
      <c r="E9" s="2">
        <f t="shared" si="0"/>
        <v>455</v>
      </c>
      <c r="F9" s="2" t="s">
        <v>93</v>
      </c>
      <c r="G9" s="2" t="s">
        <v>113</v>
      </c>
      <c r="H9" s="2" t="s">
        <v>101</v>
      </c>
      <c r="I9" s="2" t="s">
        <v>114</v>
      </c>
      <c r="J9" s="2" t="s">
        <v>115</v>
      </c>
      <c r="K9" s="2"/>
      <c r="L9" s="2"/>
      <c r="M9" s="2"/>
      <c r="N9" s="2"/>
      <c r="O9" s="2"/>
      <c r="P9" s="2"/>
      <c r="Q9" s="2"/>
      <c r="R9" s="2"/>
      <c r="S9" s="2"/>
      <c r="T9" s="2"/>
      <c r="U9" s="2"/>
      <c r="V9" s="2"/>
      <c r="W9" s="2"/>
      <c r="X9" s="2"/>
      <c r="Y9" s="2"/>
      <c r="Z9" s="2"/>
    </row>
    <row r="10" spans="1:26" ht="28.5">
      <c r="A10" s="2" t="s">
        <v>116</v>
      </c>
      <c r="B10" s="2" t="s">
        <v>117</v>
      </c>
      <c r="C10" s="2">
        <v>75</v>
      </c>
      <c r="D10" s="2">
        <v>8</v>
      </c>
      <c r="E10" s="2">
        <f t="shared" si="0"/>
        <v>600</v>
      </c>
      <c r="F10" s="2" t="s">
        <v>93</v>
      </c>
      <c r="G10" s="2" t="s">
        <v>118</v>
      </c>
      <c r="H10" s="2" t="s">
        <v>95</v>
      </c>
      <c r="I10" s="2" t="s">
        <v>119</v>
      </c>
      <c r="J10" s="2" t="s">
        <v>120</v>
      </c>
      <c r="K10" s="2"/>
      <c r="L10" s="2"/>
      <c r="M10" s="2"/>
      <c r="N10" s="2"/>
      <c r="O10" s="2"/>
      <c r="P10" s="2"/>
      <c r="Q10" s="2"/>
      <c r="R10" s="2"/>
      <c r="S10" s="2"/>
      <c r="T10" s="2"/>
      <c r="U10" s="2"/>
      <c r="V10" s="2"/>
      <c r="W10" s="2"/>
      <c r="X10" s="2"/>
      <c r="Y10" s="2"/>
      <c r="Z10" s="2"/>
    </row>
    <row r="11" spans="1:26">
      <c r="A11" s="2" t="s">
        <v>121</v>
      </c>
      <c r="B11" s="2" t="s">
        <v>122</v>
      </c>
      <c r="C11" s="2">
        <v>0</v>
      </c>
      <c r="D11" s="2">
        <v>0</v>
      </c>
      <c r="E11" s="2">
        <f t="shared" si="0"/>
        <v>0</v>
      </c>
      <c r="F11" s="2" t="s">
        <v>123</v>
      </c>
      <c r="G11" s="2" t="s">
        <v>124</v>
      </c>
      <c r="H11" s="2" t="s">
        <v>108</v>
      </c>
      <c r="I11" s="2" t="s">
        <v>125</v>
      </c>
      <c r="J11" s="2" t="s">
        <v>126</v>
      </c>
      <c r="K11" s="2"/>
      <c r="L11" s="2"/>
      <c r="M11" s="2"/>
      <c r="N11" s="2"/>
      <c r="O11" s="2"/>
      <c r="P11" s="2"/>
      <c r="Q11" s="2"/>
      <c r="R11" s="2"/>
      <c r="S11" s="2"/>
      <c r="T11" s="2"/>
      <c r="U11" s="2"/>
      <c r="V11" s="2"/>
      <c r="W11" s="2"/>
      <c r="X11" s="2"/>
      <c r="Y11" s="2"/>
      <c r="Z11" s="2"/>
    </row>
    <row r="12" spans="1:26">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30">
      <c r="A13" s="1" t="s">
        <v>127</v>
      </c>
      <c r="B13" s="1" t="s">
        <v>128</v>
      </c>
      <c r="C13" s="1" t="s">
        <v>41</v>
      </c>
      <c r="D13" s="1" t="s">
        <v>129</v>
      </c>
      <c r="E13" s="2"/>
      <c r="F13" s="2"/>
      <c r="G13" s="2"/>
      <c r="H13" s="2"/>
      <c r="I13" s="2"/>
      <c r="J13" s="2"/>
      <c r="K13" s="2"/>
      <c r="L13" s="2"/>
      <c r="M13" s="2"/>
      <c r="N13" s="2"/>
      <c r="O13" s="2"/>
      <c r="P13" s="2"/>
      <c r="Q13" s="2"/>
      <c r="R13" s="2"/>
      <c r="S13" s="2"/>
      <c r="T13" s="2"/>
      <c r="U13" s="2"/>
      <c r="V13" s="2"/>
      <c r="W13" s="2"/>
      <c r="X13" s="2"/>
      <c r="Y13" s="2"/>
      <c r="Z13" s="2"/>
    </row>
    <row r="14" spans="1:26" ht="42.75">
      <c r="A14" s="2" t="s">
        <v>130</v>
      </c>
      <c r="B14" s="3">
        <f>SUM(C5:C11)</f>
        <v>375</v>
      </c>
      <c r="C14" s="2" t="s">
        <v>131</v>
      </c>
      <c r="D14" s="3">
        <f>B14</f>
        <v>375</v>
      </c>
      <c r="E14" s="2"/>
      <c r="F14" s="2"/>
      <c r="G14" s="2"/>
      <c r="H14" s="2"/>
      <c r="I14" s="2"/>
      <c r="J14" s="2"/>
      <c r="K14" s="2"/>
      <c r="L14" s="2"/>
      <c r="M14" s="2"/>
      <c r="N14" s="2"/>
      <c r="O14" s="2"/>
      <c r="P14" s="2"/>
      <c r="Q14" s="2"/>
      <c r="R14" s="2"/>
      <c r="S14" s="2"/>
      <c r="T14" s="2"/>
      <c r="U14" s="2"/>
      <c r="V14" s="2"/>
      <c r="W14" s="2"/>
      <c r="X14" s="2"/>
      <c r="Y14" s="2"/>
      <c r="Z14" s="2"/>
    </row>
    <row r="15" spans="1:26" ht="28.5">
      <c r="A15" s="2" t="s">
        <v>132</v>
      </c>
      <c r="B15" s="3">
        <f>SUM(E5:E11)</f>
        <v>2615</v>
      </c>
      <c r="C15" s="2" t="s">
        <v>133</v>
      </c>
      <c r="D15" s="3">
        <f>B15</f>
        <v>2615</v>
      </c>
      <c r="E15" s="2"/>
      <c r="F15" s="2"/>
      <c r="G15" s="2"/>
      <c r="H15" s="2"/>
      <c r="I15" s="2"/>
      <c r="J15" s="2"/>
      <c r="K15" s="2"/>
      <c r="L15" s="2"/>
      <c r="M15" s="2"/>
      <c r="N15" s="2"/>
      <c r="O15" s="2"/>
      <c r="P15" s="2"/>
      <c r="Q15" s="2"/>
      <c r="R15" s="2"/>
      <c r="S15" s="2"/>
      <c r="T15" s="2"/>
      <c r="U15" s="2"/>
      <c r="V15" s="2"/>
      <c r="W15" s="2"/>
      <c r="X15" s="2"/>
      <c r="Y15" s="2"/>
      <c r="Z15" s="2"/>
    </row>
    <row r="16" spans="1:26" ht="42.75">
      <c r="A16" s="2" t="s">
        <v>29</v>
      </c>
      <c r="B16" s="3">
        <f>COUNTIFS(F5:F11,"High",H5:H11,"Coach")</f>
        <v>2</v>
      </c>
      <c r="C16" s="2" t="s">
        <v>30</v>
      </c>
      <c r="D16" s="3">
        <f>B16</f>
        <v>2</v>
      </c>
      <c r="E16" s="2"/>
      <c r="F16" s="2"/>
      <c r="G16" s="2"/>
      <c r="H16" s="2"/>
      <c r="I16" s="2"/>
      <c r="J16" s="2"/>
      <c r="K16" s="2"/>
      <c r="L16" s="2"/>
      <c r="M16" s="2"/>
      <c r="N16" s="2"/>
      <c r="O16" s="2"/>
      <c r="P16" s="2"/>
      <c r="Q16" s="2"/>
      <c r="R16" s="2"/>
      <c r="S16" s="2"/>
      <c r="T16" s="2"/>
      <c r="U16" s="2"/>
      <c r="V16" s="2"/>
      <c r="W16" s="2"/>
      <c r="X16" s="2"/>
      <c r="Y16" s="2"/>
      <c r="Z16" s="2"/>
    </row>
    <row r="17" spans="1:26" ht="28.5">
      <c r="A17" s="2" t="s">
        <v>34</v>
      </c>
      <c r="B17" s="3">
        <f>COUNTIF(F5:F11,"Rest")</f>
        <v>1</v>
      </c>
      <c r="C17" s="2" t="s">
        <v>35</v>
      </c>
      <c r="D17" s="3">
        <f>B17</f>
        <v>1</v>
      </c>
      <c r="E17" s="2"/>
      <c r="F17" s="2"/>
      <c r="G17" s="2"/>
      <c r="H17" s="2"/>
      <c r="I17" s="2"/>
      <c r="J17" s="2"/>
      <c r="K17" s="2"/>
      <c r="L17" s="2"/>
      <c r="M17" s="2"/>
      <c r="N17" s="2"/>
      <c r="O17" s="2"/>
      <c r="P17" s="2"/>
      <c r="Q17" s="2"/>
      <c r="R17" s="2"/>
      <c r="S17" s="2"/>
      <c r="T17" s="2"/>
      <c r="U17" s="2"/>
      <c r="V17" s="2"/>
      <c r="W17" s="2"/>
      <c r="X17" s="2"/>
      <c r="Y17" s="2"/>
      <c r="Z17" s="2"/>
    </row>
    <row r="18" spans="1:26">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21.95" customHeight="1">
      <c r="A19" s="14" t="s">
        <v>134</v>
      </c>
      <c r="B19" s="14"/>
      <c r="C19" s="14"/>
      <c r="D19" s="14"/>
      <c r="E19" s="14"/>
      <c r="F19" s="14"/>
      <c r="G19" s="14"/>
      <c r="H19" s="14"/>
      <c r="I19" s="14"/>
      <c r="J19" s="14"/>
      <c r="K19" s="2"/>
      <c r="L19" s="2"/>
      <c r="M19" s="2"/>
      <c r="N19" s="2"/>
      <c r="O19" s="2"/>
      <c r="P19" s="2"/>
      <c r="Q19" s="2"/>
      <c r="R19" s="2"/>
      <c r="S19" s="2"/>
      <c r="T19" s="2"/>
      <c r="U19" s="2"/>
      <c r="V19" s="2"/>
      <c r="W19" s="2"/>
      <c r="X19" s="2"/>
      <c r="Y19" s="2"/>
      <c r="Z19" s="2"/>
    </row>
    <row r="20" spans="1:26" ht="44.1" customHeight="1">
      <c r="A20" s="15" t="s">
        <v>135</v>
      </c>
      <c r="B20" s="15"/>
      <c r="C20" s="15"/>
      <c r="D20" s="15"/>
      <c r="E20" s="15"/>
      <c r="F20" s="15"/>
      <c r="G20" s="15"/>
      <c r="H20" s="15"/>
      <c r="I20" s="15"/>
      <c r="J20" s="15"/>
      <c r="K20" s="2"/>
      <c r="L20" s="2"/>
      <c r="M20" s="2"/>
      <c r="N20" s="2"/>
      <c r="O20" s="2"/>
      <c r="P20" s="2"/>
      <c r="Q20" s="2"/>
      <c r="R20" s="2"/>
      <c r="S20" s="2"/>
      <c r="T20" s="2"/>
      <c r="U20" s="2"/>
      <c r="V20" s="2"/>
      <c r="W20" s="2"/>
      <c r="X20" s="2"/>
      <c r="Y20" s="2"/>
      <c r="Z20" s="2"/>
    </row>
    <row r="21" spans="1:26" ht="44.1" customHeight="1">
      <c r="A21" s="15"/>
      <c r="B21" s="15"/>
      <c r="C21" s="15"/>
      <c r="D21" s="15"/>
      <c r="E21" s="15"/>
      <c r="F21" s="15"/>
      <c r="G21" s="15"/>
      <c r="H21" s="15"/>
      <c r="I21" s="15"/>
      <c r="J21" s="15"/>
      <c r="K21" s="2"/>
      <c r="L21" s="2"/>
      <c r="M21" s="2"/>
      <c r="N21" s="2"/>
      <c r="O21" s="2"/>
      <c r="P21" s="2"/>
      <c r="Q21" s="2"/>
      <c r="R21" s="2"/>
      <c r="S21" s="2"/>
      <c r="T21" s="2"/>
      <c r="U21" s="2"/>
      <c r="V21" s="2"/>
      <c r="W21" s="2"/>
      <c r="X21" s="2"/>
      <c r="Y21" s="2"/>
      <c r="Z21" s="2"/>
    </row>
    <row r="22" spans="1:26" ht="44.1" customHeight="1">
      <c r="A22" s="15"/>
      <c r="B22" s="15"/>
      <c r="C22" s="15"/>
      <c r="D22" s="15"/>
      <c r="E22" s="15"/>
      <c r="F22" s="15"/>
      <c r="G22" s="15"/>
      <c r="H22" s="15"/>
      <c r="I22" s="15"/>
      <c r="J22" s="15"/>
      <c r="K22" s="2"/>
      <c r="L22" s="2"/>
      <c r="M22" s="2"/>
      <c r="N22" s="2"/>
      <c r="O22" s="2"/>
      <c r="P22" s="2"/>
      <c r="Q22" s="2"/>
      <c r="R22" s="2"/>
      <c r="S22" s="2"/>
      <c r="T22" s="2"/>
      <c r="U22" s="2"/>
      <c r="V22" s="2"/>
      <c r="W22" s="2"/>
      <c r="X22" s="2"/>
      <c r="Y22" s="2"/>
      <c r="Z22" s="2"/>
    </row>
    <row r="23" spans="1:26">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sheetData>
  <mergeCells count="4">
    <mergeCell ref="A1:J1"/>
    <mergeCell ref="A2:J2"/>
    <mergeCell ref="A19:J19"/>
    <mergeCell ref="A20:J22"/>
  </mergeCells>
  <conditionalFormatting sqref="D5:D11">
    <cfRule type="cellIs" dxfId="6" priority="3" operator="greaterThan">
      <formula>7</formula>
    </cfRule>
  </conditionalFormatting>
  <conditionalFormatting sqref="E5:E11">
    <cfRule type="dataBar" priority="1">
      <dataBar>
        <cfvo type="min"/>
        <cfvo type="max"/>
        <color rgb="FF1D4ED8"/>
      </dataBar>
    </cfRule>
    <cfRule type="dataBar" priority="4">
      <dataBar>
        <cfvo type="min"/>
        <cfvo type="max"/>
        <color rgb="FF1D4ED8"/>
      </dataBar>
      <extLst>
        <ext xmlns:x14="http://schemas.microsoft.com/office/spreadsheetml/2009/9/main" uri="{B025F937-C7B1-47D3-B67F-A62EFF666E3E}">
          <x14:id>{42C5FA43-5C83-ACD8-4094-A3E0AE5D87F8}</x14:id>
        </ext>
      </extLst>
    </cfRule>
  </conditionalFormatting>
  <conditionalFormatting sqref="F5:F11">
    <cfRule type="expression" dxfId="5" priority="2">
      <formula>F5="Rest"</formula>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2C5FA43-5C83-ACD8-4094-A3E0AE5D87F8}">
            <x14:dataBar>
              <x14:cfvo type="min"/>
              <x14:cfvo type="max"/>
              <x14:negativeFillColor auto="1"/>
              <x14:axisColor auto="1"/>
            </x14:dataBar>
          </x14:cfRule>
          <xm:sqref>E5:E11</xm:sqref>
        </x14:conditionalFormatting>
      </x14:conditionalFormattings>
    </ext>
    <ext xmlns:x14="http://schemas.microsoft.com/office/spreadsheetml/2009/9/main" uri="{CCE6A557-97BC-4b89-ADB6-D9C93CAAB3DF}">
      <x14:dataValidations xmlns:xm="http://schemas.microsoft.com/office/excel/2006/main" count="3">
        <x14:dataValidation type="list" xr:uid="{00000000-0002-0000-0100-000000000000}">
          <x14:formula1>
            <xm:f>Lists!$A$2:$A$8</xm:f>
          </x14:formula1>
          <xm:sqref>B5:B11</xm:sqref>
        </x14:dataValidation>
        <x14:dataValidation type="list" xr:uid="{00000000-0002-0000-0100-000001000000}">
          <x14:formula1>
            <xm:f>Lists!$B$2:$B$5</xm:f>
          </x14:formula1>
          <xm:sqref>F5:F11</xm:sqref>
        </x14:dataValidation>
        <x14:dataValidation type="list" xr:uid="{00000000-0002-0000-0100-000002000000}">
          <x14:formula1>
            <xm:f>Lists!$C$2:$C$5</xm:f>
          </x14:formula1>
          <xm:sqref>H5:H11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20"/>
  <sheetViews>
    <sheetView workbookViewId="0">
      <selection activeCell="D10" sqref="D10"/>
    </sheetView>
  </sheetViews>
  <sheetFormatPr defaultRowHeight="14.25"/>
  <cols>
    <col min="1" max="1" width="18" customWidth="1"/>
    <col min="2" max="2" width="10" customWidth="1"/>
    <col min="3" max="3" width="28" customWidth="1"/>
    <col min="4" max="4" width="36" customWidth="1"/>
    <col min="5" max="5" width="32" customWidth="1"/>
    <col min="6" max="6" width="36" customWidth="1"/>
    <col min="7" max="7" width="30" customWidth="1"/>
  </cols>
  <sheetData>
    <row r="1" spans="1:26" ht="30" customHeight="1">
      <c r="A1" s="13" t="s">
        <v>136</v>
      </c>
      <c r="B1" s="13"/>
      <c r="C1" s="13"/>
      <c r="D1" s="13"/>
      <c r="E1" s="13"/>
      <c r="F1" s="13"/>
      <c r="G1" s="13"/>
      <c r="H1" s="2"/>
      <c r="I1" s="2"/>
      <c r="J1" s="2"/>
      <c r="K1" s="2"/>
      <c r="L1" s="2"/>
      <c r="M1" s="2"/>
      <c r="N1" s="2"/>
      <c r="O1" s="2"/>
      <c r="P1" s="2"/>
      <c r="Q1" s="2"/>
      <c r="R1" s="2"/>
      <c r="S1" s="2"/>
      <c r="T1" s="2"/>
      <c r="U1" s="2"/>
      <c r="V1" s="2"/>
      <c r="W1" s="2"/>
      <c r="X1" s="2"/>
      <c r="Y1" s="2"/>
      <c r="Z1" s="2"/>
    </row>
    <row r="2" spans="1:26" ht="45" customHeight="1">
      <c r="A2" s="15" t="s">
        <v>137</v>
      </c>
      <c r="B2" s="15"/>
      <c r="C2" s="15"/>
      <c r="D2" s="15"/>
      <c r="E2" s="15"/>
      <c r="F2" s="15"/>
      <c r="G2" s="15"/>
      <c r="H2" s="2"/>
      <c r="I2" s="2"/>
      <c r="J2" s="2"/>
      <c r="K2" s="2"/>
      <c r="L2" s="2"/>
      <c r="M2" s="2"/>
      <c r="N2" s="2"/>
      <c r="O2" s="2"/>
      <c r="P2" s="2"/>
      <c r="Q2" s="2"/>
      <c r="R2" s="2"/>
      <c r="S2" s="2"/>
      <c r="T2" s="2"/>
      <c r="U2" s="2"/>
      <c r="V2" s="2"/>
      <c r="W2" s="2"/>
      <c r="X2" s="2"/>
      <c r="Y2" s="2"/>
      <c r="Z2" s="2"/>
    </row>
    <row r="3" spans="1:26" ht="45" customHeight="1">
      <c r="A3" s="15"/>
      <c r="B3" s="15"/>
      <c r="C3" s="15"/>
      <c r="D3" s="15"/>
      <c r="E3" s="15"/>
      <c r="F3" s="15"/>
      <c r="G3" s="15"/>
      <c r="H3" s="2"/>
      <c r="I3" s="2"/>
      <c r="J3" s="2"/>
      <c r="K3" s="2"/>
      <c r="L3" s="2"/>
      <c r="M3" s="2"/>
      <c r="N3" s="2"/>
      <c r="O3" s="2"/>
      <c r="P3" s="2"/>
      <c r="Q3" s="2"/>
      <c r="R3" s="2"/>
      <c r="S3" s="2"/>
      <c r="T3" s="2"/>
      <c r="U3" s="2"/>
      <c r="V3" s="2"/>
      <c r="W3" s="2"/>
      <c r="X3" s="2"/>
      <c r="Y3" s="2"/>
      <c r="Z3" s="2"/>
    </row>
    <row r="4" spans="1:26">
      <c r="A4" s="2"/>
      <c r="B4" s="2"/>
      <c r="C4" s="2"/>
      <c r="D4" s="2"/>
      <c r="E4" s="2"/>
      <c r="F4" s="2"/>
      <c r="G4" s="2"/>
      <c r="H4" s="2"/>
      <c r="I4" s="2"/>
      <c r="J4" s="2"/>
      <c r="K4" s="2"/>
      <c r="L4" s="2"/>
      <c r="M4" s="2"/>
      <c r="N4" s="2"/>
      <c r="O4" s="2"/>
      <c r="P4" s="2"/>
      <c r="Q4" s="2"/>
      <c r="R4" s="2"/>
      <c r="S4" s="2"/>
      <c r="T4" s="2"/>
      <c r="U4" s="2"/>
      <c r="V4" s="2"/>
      <c r="W4" s="2"/>
      <c r="X4" s="2"/>
      <c r="Y4" s="2"/>
      <c r="Z4" s="2"/>
    </row>
    <row r="5" spans="1:26" ht="15">
      <c r="A5" s="1" t="s">
        <v>138</v>
      </c>
      <c r="B5" s="1" t="s">
        <v>139</v>
      </c>
      <c r="C5" s="1" t="s">
        <v>140</v>
      </c>
      <c r="D5" s="1" t="s">
        <v>141</v>
      </c>
      <c r="E5" s="1" t="s">
        <v>142</v>
      </c>
      <c r="F5" s="1" t="s">
        <v>143</v>
      </c>
      <c r="G5" s="1" t="s">
        <v>144</v>
      </c>
      <c r="H5" s="2"/>
      <c r="I5" s="2"/>
      <c r="J5" s="2"/>
      <c r="K5" s="2"/>
      <c r="L5" s="2"/>
      <c r="M5" s="2"/>
      <c r="N5" s="2"/>
      <c r="O5" s="2"/>
      <c r="P5" s="2"/>
      <c r="Q5" s="2"/>
      <c r="R5" s="2"/>
      <c r="S5" s="2"/>
      <c r="T5" s="2"/>
      <c r="U5" s="2"/>
      <c r="V5" s="2"/>
      <c r="W5" s="2"/>
      <c r="X5" s="2"/>
      <c r="Y5" s="2"/>
      <c r="Z5" s="2"/>
    </row>
    <row r="6" spans="1:26" ht="28.5">
      <c r="A6" s="2" t="s">
        <v>145</v>
      </c>
      <c r="B6" s="2">
        <v>8</v>
      </c>
      <c r="C6" s="2" t="s">
        <v>146</v>
      </c>
      <c r="D6" s="2" t="s">
        <v>147</v>
      </c>
      <c r="E6" s="2" t="s">
        <v>148</v>
      </c>
      <c r="F6" s="2" t="s">
        <v>149</v>
      </c>
      <c r="G6" s="2" t="s">
        <v>150</v>
      </c>
      <c r="H6" s="2"/>
      <c r="I6" s="2"/>
      <c r="J6" s="2"/>
      <c r="K6" s="2"/>
      <c r="L6" s="2"/>
      <c r="M6" s="2"/>
      <c r="N6" s="2"/>
      <c r="O6" s="2"/>
      <c r="P6" s="2"/>
      <c r="Q6" s="2"/>
      <c r="R6" s="2"/>
      <c r="S6" s="2"/>
      <c r="T6" s="2"/>
      <c r="U6" s="2"/>
      <c r="V6" s="2"/>
      <c r="W6" s="2"/>
      <c r="X6" s="2"/>
      <c r="Y6" s="2"/>
      <c r="Z6" s="2"/>
    </row>
    <row r="7" spans="1:26" ht="28.5">
      <c r="A7" s="2" t="s">
        <v>151</v>
      </c>
      <c r="B7" s="2">
        <v>10</v>
      </c>
      <c r="C7" s="2" t="s">
        <v>152</v>
      </c>
      <c r="D7" s="2" t="s">
        <v>153</v>
      </c>
      <c r="E7" s="2" t="s">
        <v>154</v>
      </c>
      <c r="F7" s="2" t="s">
        <v>155</v>
      </c>
      <c r="G7" s="2" t="s">
        <v>156</v>
      </c>
      <c r="H7" s="2"/>
      <c r="I7" s="2"/>
      <c r="J7" s="2"/>
      <c r="K7" s="2"/>
      <c r="L7" s="2"/>
      <c r="M7" s="2"/>
      <c r="N7" s="2"/>
      <c r="O7" s="2"/>
      <c r="P7" s="2"/>
      <c r="Q7" s="2"/>
      <c r="R7" s="2"/>
      <c r="S7" s="2"/>
      <c r="T7" s="2"/>
      <c r="U7" s="2"/>
      <c r="V7" s="2"/>
      <c r="W7" s="2"/>
      <c r="X7" s="2"/>
      <c r="Y7" s="2"/>
      <c r="Z7" s="2"/>
    </row>
    <row r="8" spans="1:26" ht="28.5">
      <c r="A8" s="2" t="s">
        <v>157</v>
      </c>
      <c r="B8" s="2">
        <v>12</v>
      </c>
      <c r="C8" s="2" t="s">
        <v>158</v>
      </c>
      <c r="D8" s="2" t="s">
        <v>159</v>
      </c>
      <c r="E8" s="2" t="s">
        <v>160</v>
      </c>
      <c r="F8" s="2" t="s">
        <v>161</v>
      </c>
      <c r="G8" s="2" t="s">
        <v>162</v>
      </c>
      <c r="H8" s="2"/>
      <c r="I8" s="2"/>
      <c r="J8" s="2"/>
      <c r="K8" s="2"/>
      <c r="L8" s="2"/>
      <c r="M8" s="2"/>
      <c r="N8" s="2"/>
      <c r="O8" s="2"/>
      <c r="P8" s="2"/>
      <c r="Q8" s="2"/>
      <c r="R8" s="2"/>
      <c r="S8" s="2"/>
      <c r="T8" s="2"/>
      <c r="U8" s="2"/>
      <c r="V8" s="2"/>
      <c r="W8" s="2"/>
      <c r="X8" s="2"/>
      <c r="Y8" s="2"/>
      <c r="Z8" s="2"/>
    </row>
    <row r="9" spans="1:26" ht="42.75">
      <c r="A9" s="2" t="s">
        <v>163</v>
      </c>
      <c r="B9" s="2">
        <v>12</v>
      </c>
      <c r="C9" s="2" t="s">
        <v>164</v>
      </c>
      <c r="D9" s="2" t="s">
        <v>165</v>
      </c>
      <c r="E9" s="2" t="s">
        <v>166</v>
      </c>
      <c r="F9" s="2" t="s">
        <v>167</v>
      </c>
      <c r="G9" s="2" t="s">
        <v>168</v>
      </c>
      <c r="H9" s="2"/>
      <c r="I9" s="2"/>
      <c r="J9" s="2"/>
      <c r="K9" s="2"/>
      <c r="L9" s="2"/>
      <c r="M9" s="2"/>
      <c r="N9" s="2"/>
      <c r="O9" s="2"/>
      <c r="P9" s="2"/>
      <c r="Q9" s="2"/>
      <c r="R9" s="2"/>
      <c r="S9" s="2"/>
      <c r="T9" s="2"/>
      <c r="U9" s="2"/>
      <c r="V9" s="2"/>
      <c r="W9" s="2"/>
      <c r="X9" s="2"/>
      <c r="Y9" s="2"/>
      <c r="Z9" s="2"/>
    </row>
    <row r="10" spans="1:26" ht="28.5">
      <c r="A10" s="2" t="s">
        <v>169</v>
      </c>
      <c r="B10" s="2">
        <v>15</v>
      </c>
      <c r="C10" s="2" t="s">
        <v>170</v>
      </c>
      <c r="D10" s="2" t="s">
        <v>171</v>
      </c>
      <c r="E10" s="2" t="s">
        <v>172</v>
      </c>
      <c r="F10" s="2" t="s">
        <v>173</v>
      </c>
      <c r="G10" s="2" t="s">
        <v>174</v>
      </c>
      <c r="H10" s="2"/>
      <c r="I10" s="2"/>
      <c r="J10" s="2"/>
      <c r="K10" s="2"/>
      <c r="L10" s="2"/>
      <c r="M10" s="2"/>
      <c r="N10" s="2"/>
      <c r="O10" s="2"/>
      <c r="P10" s="2"/>
      <c r="Q10" s="2"/>
      <c r="R10" s="2"/>
      <c r="S10" s="2"/>
      <c r="T10" s="2"/>
      <c r="U10" s="2"/>
      <c r="V10" s="2"/>
      <c r="W10" s="2"/>
      <c r="X10" s="2"/>
      <c r="Y10" s="2"/>
      <c r="Z10" s="2"/>
    </row>
    <row r="11" spans="1:26" ht="28.5">
      <c r="A11" s="2" t="s">
        <v>175</v>
      </c>
      <c r="B11" s="2">
        <v>5</v>
      </c>
      <c r="C11" s="2" t="s">
        <v>176</v>
      </c>
      <c r="D11" s="2" t="s">
        <v>177</v>
      </c>
      <c r="E11" s="2" t="s">
        <v>178</v>
      </c>
      <c r="F11" s="2" t="s">
        <v>179</v>
      </c>
      <c r="G11" s="2" t="s">
        <v>180</v>
      </c>
      <c r="H11" s="2"/>
      <c r="I11" s="2"/>
      <c r="J11" s="2"/>
      <c r="K11" s="2"/>
      <c r="L11" s="2"/>
      <c r="M11" s="2"/>
      <c r="N11" s="2"/>
      <c r="O11" s="2"/>
      <c r="P11" s="2"/>
      <c r="Q11" s="2"/>
      <c r="R11" s="2"/>
      <c r="S11" s="2"/>
      <c r="T11" s="2"/>
      <c r="U11" s="2"/>
      <c r="V11" s="2"/>
      <c r="W11" s="2"/>
      <c r="X11" s="2"/>
      <c r="Y11" s="2"/>
      <c r="Z11" s="2"/>
    </row>
    <row r="12" spans="1:26">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21.95" customHeight="1">
      <c r="A13" s="14" t="s">
        <v>181</v>
      </c>
      <c r="B13" s="14"/>
      <c r="C13" s="14"/>
      <c r="D13" s="14"/>
      <c r="E13" s="14"/>
      <c r="F13" s="14"/>
      <c r="G13" s="14"/>
      <c r="H13" s="2"/>
      <c r="I13" s="2"/>
      <c r="J13" s="2"/>
      <c r="K13" s="2"/>
      <c r="L13" s="2"/>
      <c r="M13" s="2"/>
      <c r="N13" s="2"/>
      <c r="O13" s="2"/>
      <c r="P13" s="2"/>
      <c r="Q13" s="2"/>
      <c r="R13" s="2"/>
      <c r="S13" s="2"/>
      <c r="T13" s="2"/>
      <c r="U13" s="2"/>
      <c r="V13" s="2"/>
      <c r="W13" s="2"/>
      <c r="X13" s="2"/>
      <c r="Y13" s="2"/>
      <c r="Z13" s="2"/>
    </row>
    <row r="14" spans="1:26" ht="48" customHeight="1">
      <c r="A14" s="15" t="s">
        <v>182</v>
      </c>
      <c r="B14" s="15"/>
      <c r="C14" s="15"/>
      <c r="D14" s="15"/>
      <c r="E14" s="15"/>
      <c r="F14" s="15"/>
      <c r="G14" s="15"/>
      <c r="H14" s="2"/>
      <c r="I14" s="2"/>
      <c r="J14" s="2"/>
      <c r="K14" s="2"/>
      <c r="L14" s="2"/>
      <c r="M14" s="2"/>
      <c r="N14" s="2"/>
      <c r="O14" s="2"/>
      <c r="P14" s="2"/>
      <c r="Q14" s="2"/>
      <c r="R14" s="2"/>
      <c r="S14" s="2"/>
      <c r="T14" s="2"/>
      <c r="U14" s="2"/>
      <c r="V14" s="2"/>
      <c r="W14" s="2"/>
      <c r="X14" s="2"/>
      <c r="Y14" s="2"/>
      <c r="Z14" s="2"/>
    </row>
    <row r="15" spans="1:26" ht="48" customHeight="1">
      <c r="A15" s="15"/>
      <c r="B15" s="15"/>
      <c r="C15" s="15"/>
      <c r="D15" s="15"/>
      <c r="E15" s="15"/>
      <c r="F15" s="15"/>
      <c r="G15" s="15"/>
      <c r="H15" s="2"/>
      <c r="I15" s="2"/>
      <c r="J15" s="2"/>
      <c r="K15" s="2"/>
      <c r="L15" s="2"/>
      <c r="M15" s="2"/>
      <c r="N15" s="2"/>
      <c r="O15" s="2"/>
      <c r="P15" s="2"/>
      <c r="Q15" s="2"/>
      <c r="R15" s="2"/>
      <c r="S15" s="2"/>
      <c r="T15" s="2"/>
      <c r="U15" s="2"/>
      <c r="V15" s="2"/>
      <c r="W15" s="2"/>
      <c r="X15" s="2"/>
      <c r="Y15" s="2"/>
      <c r="Z15" s="2"/>
    </row>
    <row r="16" spans="1:26" ht="48" customHeight="1">
      <c r="A16" s="15"/>
      <c r="B16" s="15"/>
      <c r="C16" s="15"/>
      <c r="D16" s="15"/>
      <c r="E16" s="15"/>
      <c r="F16" s="15"/>
      <c r="G16" s="15"/>
      <c r="H16" s="2"/>
      <c r="I16" s="2"/>
      <c r="J16" s="2"/>
      <c r="K16" s="2"/>
      <c r="L16" s="2"/>
      <c r="M16" s="2"/>
      <c r="N16" s="2"/>
      <c r="O16" s="2"/>
      <c r="P16" s="2"/>
      <c r="Q16" s="2"/>
      <c r="R16" s="2"/>
      <c r="S16" s="2"/>
      <c r="T16" s="2"/>
      <c r="U16" s="2"/>
      <c r="V16" s="2"/>
      <c r="W16" s="2"/>
      <c r="X16" s="2"/>
      <c r="Y16" s="2"/>
      <c r="Z16" s="2"/>
    </row>
    <row r="17" spans="1:26">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sheetData>
  <mergeCells count="4">
    <mergeCell ref="A1:G1"/>
    <mergeCell ref="A2:G3"/>
    <mergeCell ref="A13:G13"/>
    <mergeCell ref="A14:G16"/>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20"/>
  <sheetViews>
    <sheetView workbookViewId="0">
      <selection sqref="A1:G1"/>
    </sheetView>
  </sheetViews>
  <sheetFormatPr defaultRowHeight="14.25"/>
  <cols>
    <col min="1" max="1" width="18" customWidth="1"/>
    <col min="2" max="2" width="10" customWidth="1"/>
    <col min="3" max="3" width="28" customWidth="1"/>
    <col min="4" max="4" width="36" customWidth="1"/>
    <col min="5" max="5" width="32" customWidth="1"/>
    <col min="6" max="6" width="36" customWidth="1"/>
    <col min="7" max="7" width="30" customWidth="1"/>
  </cols>
  <sheetData>
    <row r="1" spans="1:26" ht="30" customHeight="1">
      <c r="A1" s="13" t="s">
        <v>183</v>
      </c>
      <c r="B1" s="13"/>
      <c r="C1" s="13"/>
      <c r="D1" s="13"/>
      <c r="E1" s="13"/>
      <c r="F1" s="13"/>
      <c r="G1" s="13"/>
      <c r="H1" s="2"/>
      <c r="I1" s="2"/>
      <c r="J1" s="2"/>
      <c r="K1" s="2"/>
      <c r="L1" s="2"/>
      <c r="M1" s="2"/>
      <c r="N1" s="2"/>
      <c r="O1" s="2"/>
      <c r="P1" s="2"/>
      <c r="Q1" s="2"/>
      <c r="R1" s="2"/>
      <c r="S1" s="2"/>
      <c r="T1" s="2"/>
      <c r="U1" s="2"/>
      <c r="V1" s="2"/>
      <c r="W1" s="2"/>
      <c r="X1" s="2"/>
      <c r="Y1" s="2"/>
      <c r="Z1" s="2"/>
    </row>
    <row r="2" spans="1:26" ht="45" customHeight="1">
      <c r="A2" s="15" t="s">
        <v>184</v>
      </c>
      <c r="B2" s="15"/>
      <c r="C2" s="15"/>
      <c r="D2" s="15"/>
      <c r="E2" s="15"/>
      <c r="F2" s="15"/>
      <c r="G2" s="15"/>
      <c r="H2" s="2"/>
      <c r="I2" s="2"/>
      <c r="J2" s="2"/>
      <c r="K2" s="2"/>
      <c r="L2" s="2"/>
      <c r="M2" s="2"/>
      <c r="N2" s="2"/>
      <c r="O2" s="2"/>
      <c r="P2" s="2"/>
      <c r="Q2" s="2"/>
      <c r="R2" s="2"/>
      <c r="S2" s="2"/>
      <c r="T2" s="2"/>
      <c r="U2" s="2"/>
      <c r="V2" s="2"/>
      <c r="W2" s="2"/>
      <c r="X2" s="2"/>
      <c r="Y2" s="2"/>
      <c r="Z2" s="2"/>
    </row>
    <row r="3" spans="1:26" ht="45" customHeight="1">
      <c r="A3" s="15"/>
      <c r="B3" s="15"/>
      <c r="C3" s="15"/>
      <c r="D3" s="15"/>
      <c r="E3" s="15"/>
      <c r="F3" s="15"/>
      <c r="G3" s="15"/>
      <c r="H3" s="2"/>
      <c r="I3" s="2"/>
      <c r="J3" s="2"/>
      <c r="K3" s="2"/>
      <c r="L3" s="2"/>
      <c r="M3" s="2"/>
      <c r="N3" s="2"/>
      <c r="O3" s="2"/>
      <c r="P3" s="2"/>
      <c r="Q3" s="2"/>
      <c r="R3" s="2"/>
      <c r="S3" s="2"/>
      <c r="T3" s="2"/>
      <c r="U3" s="2"/>
      <c r="V3" s="2"/>
      <c r="W3" s="2"/>
      <c r="X3" s="2"/>
      <c r="Y3" s="2"/>
      <c r="Z3" s="2"/>
    </row>
    <row r="4" spans="1:26">
      <c r="A4" s="2"/>
      <c r="B4" s="2"/>
      <c r="C4" s="2"/>
      <c r="D4" s="2"/>
      <c r="E4" s="2"/>
      <c r="F4" s="2"/>
      <c r="G4" s="2"/>
      <c r="H4" s="2"/>
      <c r="I4" s="2"/>
      <c r="J4" s="2"/>
      <c r="K4" s="2"/>
      <c r="L4" s="2"/>
      <c r="M4" s="2"/>
      <c r="N4" s="2"/>
      <c r="O4" s="2"/>
      <c r="P4" s="2"/>
      <c r="Q4" s="2"/>
      <c r="R4" s="2"/>
      <c r="S4" s="2"/>
      <c r="T4" s="2"/>
      <c r="U4" s="2"/>
      <c r="V4" s="2"/>
      <c r="W4" s="2"/>
      <c r="X4" s="2"/>
      <c r="Y4" s="2"/>
      <c r="Z4" s="2"/>
    </row>
    <row r="5" spans="1:26" ht="15">
      <c r="A5" s="1" t="s">
        <v>138</v>
      </c>
      <c r="B5" s="1" t="s">
        <v>139</v>
      </c>
      <c r="C5" s="1" t="s">
        <v>140</v>
      </c>
      <c r="D5" s="1" t="s">
        <v>141</v>
      </c>
      <c r="E5" s="1" t="s">
        <v>142</v>
      </c>
      <c r="F5" s="1" t="s">
        <v>143</v>
      </c>
      <c r="G5" s="1" t="s">
        <v>144</v>
      </c>
      <c r="H5" s="2"/>
      <c r="I5" s="2"/>
      <c r="J5" s="2"/>
      <c r="K5" s="2"/>
      <c r="L5" s="2"/>
      <c r="M5" s="2"/>
      <c r="N5" s="2"/>
      <c r="O5" s="2"/>
      <c r="P5" s="2"/>
      <c r="Q5" s="2"/>
      <c r="R5" s="2"/>
      <c r="S5" s="2"/>
      <c r="T5" s="2"/>
      <c r="U5" s="2"/>
      <c r="V5" s="2"/>
      <c r="W5" s="2"/>
      <c r="X5" s="2"/>
      <c r="Y5" s="2"/>
      <c r="Z5" s="2"/>
    </row>
    <row r="6" spans="1:26">
      <c r="A6" s="2" t="s">
        <v>145</v>
      </c>
      <c r="B6" s="2">
        <v>8</v>
      </c>
      <c r="C6" s="2" t="s">
        <v>185</v>
      </c>
      <c r="D6" s="2" t="s">
        <v>186</v>
      </c>
      <c r="E6" s="2" t="s">
        <v>187</v>
      </c>
      <c r="F6" s="2" t="s">
        <v>188</v>
      </c>
      <c r="G6" s="2" t="s">
        <v>189</v>
      </c>
      <c r="H6" s="2"/>
      <c r="I6" s="2"/>
      <c r="J6" s="2"/>
      <c r="K6" s="2"/>
      <c r="L6" s="2"/>
      <c r="M6" s="2"/>
      <c r="N6" s="2"/>
      <c r="O6" s="2"/>
      <c r="P6" s="2"/>
      <c r="Q6" s="2"/>
      <c r="R6" s="2"/>
      <c r="S6" s="2"/>
      <c r="T6" s="2"/>
      <c r="U6" s="2"/>
      <c r="V6" s="2"/>
      <c r="W6" s="2"/>
      <c r="X6" s="2"/>
      <c r="Y6" s="2"/>
      <c r="Z6" s="2"/>
    </row>
    <row r="7" spans="1:26" ht="28.5">
      <c r="A7" s="2" t="s">
        <v>190</v>
      </c>
      <c r="B7" s="2">
        <v>12</v>
      </c>
      <c r="C7" s="2" t="s">
        <v>191</v>
      </c>
      <c r="D7" s="2" t="s">
        <v>192</v>
      </c>
      <c r="E7" s="2" t="s">
        <v>193</v>
      </c>
      <c r="F7" s="2" t="s">
        <v>194</v>
      </c>
      <c r="G7" s="2" t="s">
        <v>195</v>
      </c>
      <c r="H7" s="2"/>
      <c r="I7" s="2"/>
      <c r="J7" s="2"/>
      <c r="K7" s="2"/>
      <c r="L7" s="2"/>
      <c r="M7" s="2"/>
      <c r="N7" s="2"/>
      <c r="O7" s="2"/>
      <c r="P7" s="2"/>
      <c r="Q7" s="2"/>
      <c r="R7" s="2"/>
      <c r="S7" s="2"/>
      <c r="T7" s="2"/>
      <c r="U7" s="2"/>
      <c r="V7" s="2"/>
      <c r="W7" s="2"/>
      <c r="X7" s="2"/>
      <c r="Y7" s="2"/>
      <c r="Z7" s="2"/>
    </row>
    <row r="8" spans="1:26" ht="28.5">
      <c r="A8" s="2" t="s">
        <v>196</v>
      </c>
      <c r="B8" s="2">
        <v>10</v>
      </c>
      <c r="C8" s="2" t="s">
        <v>197</v>
      </c>
      <c r="D8" s="2" t="s">
        <v>198</v>
      </c>
      <c r="E8" s="2" t="s">
        <v>199</v>
      </c>
      <c r="F8" s="2" t="s">
        <v>200</v>
      </c>
      <c r="G8" s="2" t="s">
        <v>201</v>
      </c>
      <c r="H8" s="2"/>
      <c r="I8" s="2"/>
      <c r="J8" s="2"/>
      <c r="K8" s="2"/>
      <c r="L8" s="2"/>
      <c r="M8" s="2"/>
      <c r="N8" s="2"/>
      <c r="O8" s="2"/>
      <c r="P8" s="2"/>
      <c r="Q8" s="2"/>
      <c r="R8" s="2"/>
      <c r="S8" s="2"/>
      <c r="T8" s="2"/>
      <c r="U8" s="2"/>
      <c r="V8" s="2"/>
      <c r="W8" s="2"/>
      <c r="X8" s="2"/>
      <c r="Y8" s="2"/>
      <c r="Z8" s="2"/>
    </row>
    <row r="9" spans="1:26" ht="28.5">
      <c r="A9" s="2" t="s">
        <v>202</v>
      </c>
      <c r="B9" s="2">
        <v>15</v>
      </c>
      <c r="C9" s="2" t="s">
        <v>203</v>
      </c>
      <c r="D9" s="2" t="s">
        <v>204</v>
      </c>
      <c r="E9" s="2" t="s">
        <v>205</v>
      </c>
      <c r="F9" s="2" t="s">
        <v>206</v>
      </c>
      <c r="G9" s="2" t="s">
        <v>207</v>
      </c>
      <c r="H9" s="2"/>
      <c r="I9" s="2"/>
      <c r="J9" s="2"/>
      <c r="K9" s="2"/>
      <c r="L9" s="2"/>
      <c r="M9" s="2"/>
      <c r="N9" s="2"/>
      <c r="O9" s="2"/>
      <c r="P9" s="2"/>
      <c r="Q9" s="2"/>
      <c r="R9" s="2"/>
      <c r="S9" s="2"/>
      <c r="T9" s="2"/>
      <c r="U9" s="2"/>
      <c r="V9" s="2"/>
      <c r="W9" s="2"/>
      <c r="X9" s="2"/>
      <c r="Y9" s="2"/>
      <c r="Z9" s="2"/>
    </row>
    <row r="10" spans="1:26">
      <c r="A10" s="2" t="s">
        <v>208</v>
      </c>
      <c r="B10" s="2">
        <v>15</v>
      </c>
      <c r="C10" s="2" t="s">
        <v>209</v>
      </c>
      <c r="D10" s="2" t="s">
        <v>210</v>
      </c>
      <c r="E10" s="2" t="s">
        <v>211</v>
      </c>
      <c r="F10" s="2" t="s">
        <v>212</v>
      </c>
      <c r="G10" s="2" t="s">
        <v>213</v>
      </c>
      <c r="H10" s="2"/>
      <c r="I10" s="2"/>
      <c r="J10" s="2"/>
      <c r="K10" s="2"/>
      <c r="L10" s="2"/>
      <c r="M10" s="2"/>
      <c r="N10" s="2"/>
      <c r="O10" s="2"/>
      <c r="P10" s="2"/>
      <c r="Q10" s="2"/>
      <c r="R10" s="2"/>
      <c r="S10" s="2"/>
      <c r="T10" s="2"/>
      <c r="U10" s="2"/>
      <c r="V10" s="2"/>
      <c r="W10" s="2"/>
      <c r="X10" s="2"/>
      <c r="Y10" s="2"/>
      <c r="Z10" s="2"/>
    </row>
    <row r="11" spans="1:26" ht="28.5">
      <c r="A11" s="2" t="s">
        <v>214</v>
      </c>
      <c r="B11" s="2">
        <v>8</v>
      </c>
      <c r="C11" s="2" t="s">
        <v>64</v>
      </c>
      <c r="D11" s="2" t="s">
        <v>215</v>
      </c>
      <c r="E11" s="2" t="s">
        <v>216</v>
      </c>
      <c r="F11" s="2" t="s">
        <v>217</v>
      </c>
      <c r="G11" s="2" t="s">
        <v>218</v>
      </c>
      <c r="H11" s="2"/>
      <c r="I11" s="2"/>
      <c r="J11" s="2"/>
      <c r="K11" s="2"/>
      <c r="L11" s="2"/>
      <c r="M11" s="2"/>
      <c r="N11" s="2"/>
      <c r="O11" s="2"/>
      <c r="P11" s="2"/>
      <c r="Q11" s="2"/>
      <c r="R11" s="2"/>
      <c r="S11" s="2"/>
      <c r="T11" s="2"/>
      <c r="U11" s="2"/>
      <c r="V11" s="2"/>
      <c r="W11" s="2"/>
      <c r="X11" s="2"/>
      <c r="Y11" s="2"/>
      <c r="Z11" s="2"/>
    </row>
    <row r="12" spans="1:26">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21.95" customHeight="1">
      <c r="A13" s="14" t="s">
        <v>181</v>
      </c>
      <c r="B13" s="14"/>
      <c r="C13" s="14"/>
      <c r="D13" s="14"/>
      <c r="E13" s="14"/>
      <c r="F13" s="14"/>
      <c r="G13" s="14"/>
      <c r="H13" s="2"/>
      <c r="I13" s="2"/>
      <c r="J13" s="2"/>
      <c r="K13" s="2"/>
      <c r="L13" s="2"/>
      <c r="M13" s="2"/>
      <c r="N13" s="2"/>
      <c r="O13" s="2"/>
      <c r="P13" s="2"/>
      <c r="Q13" s="2"/>
      <c r="R13" s="2"/>
      <c r="S13" s="2"/>
      <c r="T13" s="2"/>
      <c r="U13" s="2"/>
      <c r="V13" s="2"/>
      <c r="W13" s="2"/>
      <c r="X13" s="2"/>
      <c r="Y13" s="2"/>
      <c r="Z13" s="2"/>
    </row>
    <row r="14" spans="1:26" ht="48" customHeight="1">
      <c r="A14" s="15" t="s">
        <v>219</v>
      </c>
      <c r="B14" s="15"/>
      <c r="C14" s="15"/>
      <c r="D14" s="15"/>
      <c r="E14" s="15"/>
      <c r="F14" s="15"/>
      <c r="G14" s="15"/>
      <c r="H14" s="2"/>
      <c r="I14" s="2"/>
      <c r="J14" s="2"/>
      <c r="K14" s="2"/>
      <c r="L14" s="2"/>
      <c r="M14" s="2"/>
      <c r="N14" s="2"/>
      <c r="O14" s="2"/>
      <c r="P14" s="2"/>
      <c r="Q14" s="2"/>
      <c r="R14" s="2"/>
      <c r="S14" s="2"/>
      <c r="T14" s="2"/>
      <c r="U14" s="2"/>
      <c r="V14" s="2"/>
      <c r="W14" s="2"/>
      <c r="X14" s="2"/>
      <c r="Y14" s="2"/>
      <c r="Z14" s="2"/>
    </row>
    <row r="15" spans="1:26" ht="48" customHeight="1">
      <c r="A15" s="15"/>
      <c r="B15" s="15"/>
      <c r="C15" s="15"/>
      <c r="D15" s="15"/>
      <c r="E15" s="15"/>
      <c r="F15" s="15"/>
      <c r="G15" s="15"/>
      <c r="H15" s="2"/>
      <c r="I15" s="2"/>
      <c r="J15" s="2"/>
      <c r="K15" s="2"/>
      <c r="L15" s="2"/>
      <c r="M15" s="2"/>
      <c r="N15" s="2"/>
      <c r="O15" s="2"/>
      <c r="P15" s="2"/>
      <c r="Q15" s="2"/>
      <c r="R15" s="2"/>
      <c r="S15" s="2"/>
      <c r="T15" s="2"/>
      <c r="U15" s="2"/>
      <c r="V15" s="2"/>
      <c r="W15" s="2"/>
      <c r="X15" s="2"/>
      <c r="Y15" s="2"/>
      <c r="Z15" s="2"/>
    </row>
    <row r="16" spans="1:26" ht="48" customHeight="1">
      <c r="A16" s="15"/>
      <c r="B16" s="15"/>
      <c r="C16" s="15"/>
      <c r="D16" s="15"/>
      <c r="E16" s="15"/>
      <c r="F16" s="15"/>
      <c r="G16" s="15"/>
      <c r="H16" s="2"/>
      <c r="I16" s="2"/>
      <c r="J16" s="2"/>
      <c r="K16" s="2"/>
      <c r="L16" s="2"/>
      <c r="M16" s="2"/>
      <c r="N16" s="2"/>
      <c r="O16" s="2"/>
      <c r="P16" s="2"/>
      <c r="Q16" s="2"/>
      <c r="R16" s="2"/>
      <c r="S16" s="2"/>
      <c r="T16" s="2"/>
      <c r="U16" s="2"/>
      <c r="V16" s="2"/>
      <c r="W16" s="2"/>
      <c r="X16" s="2"/>
      <c r="Y16" s="2"/>
      <c r="Z16" s="2"/>
    </row>
    <row r="17" spans="1:26">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sheetData>
  <mergeCells count="4">
    <mergeCell ref="A1:G1"/>
    <mergeCell ref="A2:G3"/>
    <mergeCell ref="A13:G13"/>
    <mergeCell ref="A14:G16"/>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20"/>
  <sheetViews>
    <sheetView workbookViewId="0">
      <selection sqref="A1:G1"/>
    </sheetView>
  </sheetViews>
  <sheetFormatPr defaultRowHeight="14.25"/>
  <cols>
    <col min="1" max="1" width="18" customWidth="1"/>
    <col min="2" max="2" width="10" customWidth="1"/>
    <col min="3" max="3" width="28" customWidth="1"/>
    <col min="4" max="4" width="36" customWidth="1"/>
    <col min="5" max="5" width="32" customWidth="1"/>
    <col min="6" max="6" width="36" customWidth="1"/>
    <col min="7" max="7" width="30" customWidth="1"/>
  </cols>
  <sheetData>
    <row r="1" spans="1:26" ht="30" customHeight="1">
      <c r="A1" s="13" t="s">
        <v>220</v>
      </c>
      <c r="B1" s="13"/>
      <c r="C1" s="13"/>
      <c r="D1" s="13"/>
      <c r="E1" s="13"/>
      <c r="F1" s="13"/>
      <c r="G1" s="13"/>
      <c r="H1" s="2"/>
      <c r="I1" s="2"/>
      <c r="J1" s="2"/>
      <c r="K1" s="2"/>
      <c r="L1" s="2"/>
      <c r="M1" s="2"/>
      <c r="N1" s="2"/>
      <c r="O1" s="2"/>
      <c r="P1" s="2"/>
      <c r="Q1" s="2"/>
      <c r="R1" s="2"/>
      <c r="S1" s="2"/>
      <c r="T1" s="2"/>
      <c r="U1" s="2"/>
      <c r="V1" s="2"/>
      <c r="W1" s="2"/>
      <c r="X1" s="2"/>
      <c r="Y1" s="2"/>
      <c r="Z1" s="2"/>
    </row>
    <row r="2" spans="1:26" ht="45" customHeight="1">
      <c r="A2" s="15" t="s">
        <v>221</v>
      </c>
      <c r="B2" s="15"/>
      <c r="C2" s="15"/>
      <c r="D2" s="15"/>
      <c r="E2" s="15"/>
      <c r="F2" s="15"/>
      <c r="G2" s="15"/>
      <c r="H2" s="2"/>
      <c r="I2" s="2"/>
      <c r="J2" s="2"/>
      <c r="K2" s="2"/>
      <c r="L2" s="2"/>
      <c r="M2" s="2"/>
      <c r="N2" s="2"/>
      <c r="O2" s="2"/>
      <c r="P2" s="2"/>
      <c r="Q2" s="2"/>
      <c r="R2" s="2"/>
      <c r="S2" s="2"/>
      <c r="T2" s="2"/>
      <c r="U2" s="2"/>
      <c r="V2" s="2"/>
      <c r="W2" s="2"/>
      <c r="X2" s="2"/>
      <c r="Y2" s="2"/>
      <c r="Z2" s="2"/>
    </row>
    <row r="3" spans="1:26" ht="45" customHeight="1">
      <c r="A3" s="15"/>
      <c r="B3" s="15"/>
      <c r="C3" s="15"/>
      <c r="D3" s="15"/>
      <c r="E3" s="15"/>
      <c r="F3" s="15"/>
      <c r="G3" s="15"/>
      <c r="H3" s="2"/>
      <c r="I3" s="2"/>
      <c r="J3" s="2"/>
      <c r="K3" s="2"/>
      <c r="L3" s="2"/>
      <c r="M3" s="2"/>
      <c r="N3" s="2"/>
      <c r="O3" s="2"/>
      <c r="P3" s="2"/>
      <c r="Q3" s="2"/>
      <c r="R3" s="2"/>
      <c r="S3" s="2"/>
      <c r="T3" s="2"/>
      <c r="U3" s="2"/>
      <c r="V3" s="2"/>
      <c r="W3" s="2"/>
      <c r="X3" s="2"/>
      <c r="Y3" s="2"/>
      <c r="Z3" s="2"/>
    </row>
    <row r="4" spans="1:26">
      <c r="A4" s="2"/>
      <c r="B4" s="2"/>
      <c r="C4" s="2"/>
      <c r="D4" s="2"/>
      <c r="E4" s="2"/>
      <c r="F4" s="2"/>
      <c r="G4" s="2"/>
      <c r="H4" s="2"/>
      <c r="I4" s="2"/>
      <c r="J4" s="2"/>
      <c r="K4" s="2"/>
      <c r="L4" s="2"/>
      <c r="M4" s="2"/>
      <c r="N4" s="2"/>
      <c r="O4" s="2"/>
      <c r="P4" s="2"/>
      <c r="Q4" s="2"/>
      <c r="R4" s="2"/>
      <c r="S4" s="2"/>
      <c r="T4" s="2"/>
      <c r="U4" s="2"/>
      <c r="V4" s="2"/>
      <c r="W4" s="2"/>
      <c r="X4" s="2"/>
      <c r="Y4" s="2"/>
      <c r="Z4" s="2"/>
    </row>
    <row r="5" spans="1:26" ht="15">
      <c r="A5" s="1" t="s">
        <v>138</v>
      </c>
      <c r="B5" s="1" t="s">
        <v>139</v>
      </c>
      <c r="C5" s="1" t="s">
        <v>140</v>
      </c>
      <c r="D5" s="1" t="s">
        <v>141</v>
      </c>
      <c r="E5" s="1" t="s">
        <v>142</v>
      </c>
      <c r="F5" s="1" t="s">
        <v>143</v>
      </c>
      <c r="G5" s="1" t="s">
        <v>144</v>
      </c>
      <c r="H5" s="2"/>
      <c r="I5" s="2"/>
      <c r="J5" s="2"/>
      <c r="K5" s="2"/>
      <c r="L5" s="2"/>
      <c r="M5" s="2"/>
      <c r="N5" s="2"/>
      <c r="O5" s="2"/>
      <c r="P5" s="2"/>
      <c r="Q5" s="2"/>
      <c r="R5" s="2"/>
      <c r="S5" s="2"/>
      <c r="T5" s="2"/>
      <c r="U5" s="2"/>
      <c r="V5" s="2"/>
      <c r="W5" s="2"/>
      <c r="X5" s="2"/>
      <c r="Y5" s="2"/>
      <c r="Z5" s="2"/>
    </row>
    <row r="6" spans="1:26" ht="28.5">
      <c r="A6" s="2" t="s">
        <v>145</v>
      </c>
      <c r="B6" s="2">
        <v>8</v>
      </c>
      <c r="C6" s="2" t="s">
        <v>222</v>
      </c>
      <c r="D6" s="2" t="s">
        <v>223</v>
      </c>
      <c r="E6" s="2" t="s">
        <v>187</v>
      </c>
      <c r="F6" s="2" t="s">
        <v>224</v>
      </c>
      <c r="G6" s="2" t="s">
        <v>225</v>
      </c>
      <c r="H6" s="2"/>
      <c r="I6" s="2"/>
      <c r="J6" s="2"/>
      <c r="K6" s="2"/>
      <c r="L6" s="2"/>
      <c r="M6" s="2"/>
      <c r="N6" s="2"/>
      <c r="O6" s="2"/>
      <c r="P6" s="2"/>
      <c r="Q6" s="2"/>
      <c r="R6" s="2"/>
      <c r="S6" s="2"/>
      <c r="T6" s="2"/>
      <c r="U6" s="2"/>
      <c r="V6" s="2"/>
      <c r="W6" s="2"/>
      <c r="X6" s="2"/>
      <c r="Y6" s="2"/>
      <c r="Z6" s="2"/>
    </row>
    <row r="7" spans="1:26" ht="28.5">
      <c r="A7" s="2" t="s">
        <v>226</v>
      </c>
      <c r="B7" s="2">
        <v>10</v>
      </c>
      <c r="C7" s="2" t="s">
        <v>227</v>
      </c>
      <c r="D7" s="2" t="s">
        <v>228</v>
      </c>
      <c r="E7" s="2" t="s">
        <v>229</v>
      </c>
      <c r="F7" s="2" t="s">
        <v>230</v>
      </c>
      <c r="G7" s="2" t="s">
        <v>231</v>
      </c>
      <c r="H7" s="2"/>
      <c r="I7" s="2"/>
      <c r="J7" s="2"/>
      <c r="K7" s="2"/>
      <c r="L7" s="2"/>
      <c r="M7" s="2"/>
      <c r="N7" s="2"/>
      <c r="O7" s="2"/>
      <c r="P7" s="2"/>
      <c r="Q7" s="2"/>
      <c r="R7" s="2"/>
      <c r="S7" s="2"/>
      <c r="T7" s="2"/>
      <c r="U7" s="2"/>
      <c r="V7" s="2"/>
      <c r="W7" s="2"/>
      <c r="X7" s="2"/>
      <c r="Y7" s="2"/>
      <c r="Z7" s="2"/>
    </row>
    <row r="8" spans="1:26" ht="42.75">
      <c r="A8" s="2" t="s">
        <v>232</v>
      </c>
      <c r="B8" s="2">
        <v>20</v>
      </c>
      <c r="C8" s="2" t="s">
        <v>233</v>
      </c>
      <c r="D8" s="2" t="s">
        <v>234</v>
      </c>
      <c r="E8" s="2" t="s">
        <v>235</v>
      </c>
      <c r="F8" s="2" t="s">
        <v>236</v>
      </c>
      <c r="G8" s="2" t="s">
        <v>114</v>
      </c>
      <c r="H8" s="2"/>
      <c r="I8" s="2"/>
      <c r="J8" s="2"/>
      <c r="K8" s="2"/>
      <c r="L8" s="2"/>
      <c r="M8" s="2"/>
      <c r="N8" s="2"/>
      <c r="O8" s="2"/>
      <c r="P8" s="2"/>
      <c r="Q8" s="2"/>
      <c r="R8" s="2"/>
      <c r="S8" s="2"/>
      <c r="T8" s="2"/>
      <c r="U8" s="2"/>
      <c r="V8" s="2"/>
      <c r="W8" s="2"/>
      <c r="X8" s="2"/>
      <c r="Y8" s="2"/>
      <c r="Z8" s="2"/>
    </row>
    <row r="9" spans="1:26" ht="28.5">
      <c r="A9" s="2" t="s">
        <v>237</v>
      </c>
      <c r="B9" s="2">
        <v>12</v>
      </c>
      <c r="C9" s="2" t="s">
        <v>238</v>
      </c>
      <c r="D9" s="2" t="s">
        <v>239</v>
      </c>
      <c r="E9" s="2" t="s">
        <v>240</v>
      </c>
      <c r="F9" s="2" t="s">
        <v>241</v>
      </c>
      <c r="G9" s="2" t="s">
        <v>242</v>
      </c>
      <c r="H9" s="2"/>
      <c r="I9" s="2"/>
      <c r="J9" s="2"/>
      <c r="K9" s="2"/>
      <c r="L9" s="2"/>
      <c r="M9" s="2"/>
      <c r="N9" s="2"/>
      <c r="O9" s="2"/>
      <c r="P9" s="2"/>
      <c r="Q9" s="2"/>
      <c r="R9" s="2"/>
      <c r="S9" s="2"/>
      <c r="T9" s="2"/>
      <c r="U9" s="2"/>
      <c r="V9" s="2"/>
      <c r="W9" s="2"/>
      <c r="X9" s="2"/>
      <c r="Y9" s="2"/>
      <c r="Z9" s="2"/>
    </row>
    <row r="10" spans="1:26" ht="28.5">
      <c r="A10" s="2" t="s">
        <v>243</v>
      </c>
      <c r="B10" s="2">
        <v>10</v>
      </c>
      <c r="C10" s="2" t="s">
        <v>244</v>
      </c>
      <c r="D10" s="2" t="s">
        <v>245</v>
      </c>
      <c r="E10" s="2" t="s">
        <v>246</v>
      </c>
      <c r="F10" s="2" t="s">
        <v>247</v>
      </c>
      <c r="G10" s="2" t="s">
        <v>248</v>
      </c>
      <c r="H10" s="2"/>
      <c r="I10" s="2"/>
      <c r="J10" s="2"/>
      <c r="K10" s="2"/>
      <c r="L10" s="2"/>
      <c r="M10" s="2"/>
      <c r="N10" s="2"/>
      <c r="O10" s="2"/>
      <c r="P10" s="2"/>
      <c r="Q10" s="2"/>
      <c r="R10" s="2"/>
      <c r="S10" s="2"/>
      <c r="T10" s="2"/>
      <c r="U10" s="2"/>
      <c r="V10" s="2"/>
      <c r="W10" s="2"/>
      <c r="X10" s="2"/>
      <c r="Y10" s="2"/>
      <c r="Z10" s="2"/>
    </row>
    <row r="11" spans="1:26">
      <c r="A11" s="2" t="s">
        <v>175</v>
      </c>
      <c r="B11" s="2">
        <v>5</v>
      </c>
      <c r="C11" s="2" t="s">
        <v>249</v>
      </c>
      <c r="D11" s="2" t="s">
        <v>250</v>
      </c>
      <c r="E11" s="2" t="s">
        <v>251</v>
      </c>
      <c r="F11" s="2" t="s">
        <v>252</v>
      </c>
      <c r="G11" s="2" t="s">
        <v>253</v>
      </c>
      <c r="H11" s="2"/>
      <c r="I11" s="2"/>
      <c r="J11" s="2"/>
      <c r="K11" s="2"/>
      <c r="L11" s="2"/>
      <c r="M11" s="2"/>
      <c r="N11" s="2"/>
      <c r="O11" s="2"/>
      <c r="P11" s="2"/>
      <c r="Q11" s="2"/>
      <c r="R11" s="2"/>
      <c r="S11" s="2"/>
      <c r="T11" s="2"/>
      <c r="U11" s="2"/>
      <c r="V11" s="2"/>
      <c r="W11" s="2"/>
      <c r="X11" s="2"/>
      <c r="Y11" s="2"/>
      <c r="Z11" s="2"/>
    </row>
    <row r="12" spans="1:26">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21.95" customHeight="1">
      <c r="A13" s="14" t="s">
        <v>181</v>
      </c>
      <c r="B13" s="14"/>
      <c r="C13" s="14"/>
      <c r="D13" s="14"/>
      <c r="E13" s="14"/>
      <c r="F13" s="14"/>
      <c r="G13" s="14"/>
      <c r="H13" s="2"/>
      <c r="I13" s="2"/>
      <c r="J13" s="2"/>
      <c r="K13" s="2"/>
      <c r="L13" s="2"/>
      <c r="M13" s="2"/>
      <c r="N13" s="2"/>
      <c r="O13" s="2"/>
      <c r="P13" s="2"/>
      <c r="Q13" s="2"/>
      <c r="R13" s="2"/>
      <c r="S13" s="2"/>
      <c r="T13" s="2"/>
      <c r="U13" s="2"/>
      <c r="V13" s="2"/>
      <c r="W13" s="2"/>
      <c r="X13" s="2"/>
      <c r="Y13" s="2"/>
      <c r="Z13" s="2"/>
    </row>
    <row r="14" spans="1:26" ht="48" customHeight="1">
      <c r="A14" s="15" t="s">
        <v>254</v>
      </c>
      <c r="B14" s="15"/>
      <c r="C14" s="15"/>
      <c r="D14" s="15"/>
      <c r="E14" s="15"/>
      <c r="F14" s="15"/>
      <c r="G14" s="15"/>
      <c r="H14" s="2"/>
      <c r="I14" s="2"/>
      <c r="J14" s="2"/>
      <c r="K14" s="2"/>
      <c r="L14" s="2"/>
      <c r="M14" s="2"/>
      <c r="N14" s="2"/>
      <c r="O14" s="2"/>
      <c r="P14" s="2"/>
      <c r="Q14" s="2"/>
      <c r="R14" s="2"/>
      <c r="S14" s="2"/>
      <c r="T14" s="2"/>
      <c r="U14" s="2"/>
      <c r="V14" s="2"/>
      <c r="W14" s="2"/>
      <c r="X14" s="2"/>
      <c r="Y14" s="2"/>
      <c r="Z14" s="2"/>
    </row>
    <row r="15" spans="1:26" ht="48" customHeight="1">
      <c r="A15" s="15"/>
      <c r="B15" s="15"/>
      <c r="C15" s="15"/>
      <c r="D15" s="15"/>
      <c r="E15" s="15"/>
      <c r="F15" s="15"/>
      <c r="G15" s="15"/>
      <c r="H15" s="2"/>
      <c r="I15" s="2"/>
      <c r="J15" s="2"/>
      <c r="K15" s="2"/>
      <c r="L15" s="2"/>
      <c r="M15" s="2"/>
      <c r="N15" s="2"/>
      <c r="O15" s="2"/>
      <c r="P15" s="2"/>
      <c r="Q15" s="2"/>
      <c r="R15" s="2"/>
      <c r="S15" s="2"/>
      <c r="T15" s="2"/>
      <c r="U15" s="2"/>
      <c r="V15" s="2"/>
      <c r="W15" s="2"/>
      <c r="X15" s="2"/>
      <c r="Y15" s="2"/>
      <c r="Z15" s="2"/>
    </row>
    <row r="16" spans="1:26" ht="48" customHeight="1">
      <c r="A16" s="15"/>
      <c r="B16" s="15"/>
      <c r="C16" s="15"/>
      <c r="D16" s="15"/>
      <c r="E16" s="15"/>
      <c r="F16" s="15"/>
      <c r="G16" s="15"/>
      <c r="H16" s="2"/>
      <c r="I16" s="2"/>
      <c r="J16" s="2"/>
      <c r="K16" s="2"/>
      <c r="L16" s="2"/>
      <c r="M16" s="2"/>
      <c r="N16" s="2"/>
      <c r="O16" s="2"/>
      <c r="P16" s="2"/>
      <c r="Q16" s="2"/>
      <c r="R16" s="2"/>
      <c r="S16" s="2"/>
      <c r="T16" s="2"/>
      <c r="U16" s="2"/>
      <c r="V16" s="2"/>
      <c r="W16" s="2"/>
      <c r="X16" s="2"/>
      <c r="Y16" s="2"/>
      <c r="Z16" s="2"/>
    </row>
    <row r="17" spans="1:26">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sheetData>
  <mergeCells count="4">
    <mergeCell ref="A1:G1"/>
    <mergeCell ref="A2:G3"/>
    <mergeCell ref="A13:G13"/>
    <mergeCell ref="A14:G16"/>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20"/>
  <sheetViews>
    <sheetView workbookViewId="0">
      <selection sqref="A1:F1"/>
    </sheetView>
  </sheetViews>
  <sheetFormatPr defaultRowHeight="14.25"/>
  <cols>
    <col min="1" max="2" width="10" customWidth="1"/>
    <col min="3" max="3" width="24" customWidth="1"/>
    <col min="4" max="4" width="40" customWidth="1"/>
    <col min="5" max="5" width="34" customWidth="1"/>
    <col min="6" max="6" width="28" customWidth="1"/>
  </cols>
  <sheetData>
    <row r="1" spans="1:26" ht="30" customHeight="1">
      <c r="A1" s="13" t="s">
        <v>255</v>
      </c>
      <c r="B1" s="13"/>
      <c r="C1" s="13"/>
      <c r="D1" s="13"/>
      <c r="E1" s="13"/>
      <c r="F1" s="13"/>
      <c r="G1" s="2"/>
      <c r="H1" s="2"/>
      <c r="I1" s="2"/>
      <c r="J1" s="2"/>
      <c r="K1" s="2"/>
      <c r="L1" s="2"/>
      <c r="M1" s="2"/>
      <c r="N1" s="2"/>
      <c r="O1" s="2"/>
      <c r="P1" s="2"/>
      <c r="Q1" s="2"/>
      <c r="R1" s="2"/>
      <c r="S1" s="2"/>
      <c r="T1" s="2"/>
      <c r="U1" s="2"/>
      <c r="V1" s="2"/>
      <c r="W1" s="2"/>
      <c r="X1" s="2"/>
      <c r="Y1" s="2"/>
      <c r="Z1" s="2"/>
    </row>
    <row r="2" spans="1:26" ht="42" customHeight="1">
      <c r="A2" s="15" t="s">
        <v>256</v>
      </c>
      <c r="B2" s="15"/>
      <c r="C2" s="15"/>
      <c r="D2" s="15"/>
      <c r="E2" s="15"/>
      <c r="F2" s="15"/>
      <c r="G2" s="2"/>
      <c r="H2" s="2"/>
      <c r="I2" s="2"/>
      <c r="J2" s="2"/>
      <c r="K2" s="2"/>
      <c r="L2" s="2"/>
      <c r="M2" s="2"/>
      <c r="N2" s="2"/>
      <c r="O2" s="2"/>
      <c r="P2" s="2"/>
      <c r="Q2" s="2"/>
      <c r="R2" s="2"/>
      <c r="S2" s="2"/>
      <c r="T2" s="2"/>
      <c r="U2" s="2"/>
      <c r="V2" s="2"/>
      <c r="W2" s="2"/>
      <c r="X2" s="2"/>
      <c r="Y2" s="2"/>
      <c r="Z2" s="2"/>
    </row>
    <row r="3" spans="1:26" ht="42" customHeight="1">
      <c r="A3" s="15"/>
      <c r="B3" s="15"/>
      <c r="C3" s="15"/>
      <c r="D3" s="15"/>
      <c r="E3" s="15"/>
      <c r="F3" s="15"/>
      <c r="G3" s="2"/>
      <c r="H3" s="2"/>
      <c r="I3" s="2"/>
      <c r="J3" s="2"/>
      <c r="K3" s="2"/>
      <c r="L3" s="2"/>
      <c r="M3" s="2"/>
      <c r="N3" s="2"/>
      <c r="O3" s="2"/>
      <c r="P3" s="2"/>
      <c r="Q3" s="2"/>
      <c r="R3" s="2"/>
      <c r="S3" s="2"/>
      <c r="T3" s="2"/>
      <c r="U3" s="2"/>
      <c r="V3" s="2"/>
      <c r="W3" s="2"/>
      <c r="X3" s="2"/>
      <c r="Y3" s="2"/>
      <c r="Z3" s="2"/>
    </row>
    <row r="4" spans="1:26">
      <c r="A4" s="2"/>
      <c r="B4" s="2"/>
      <c r="C4" s="2"/>
      <c r="D4" s="2"/>
      <c r="E4" s="2"/>
      <c r="F4" s="2"/>
      <c r="G4" s="2"/>
      <c r="H4" s="2"/>
      <c r="I4" s="2"/>
      <c r="J4" s="2"/>
      <c r="K4" s="2"/>
      <c r="L4" s="2"/>
      <c r="M4" s="2"/>
      <c r="N4" s="2"/>
      <c r="O4" s="2"/>
      <c r="P4" s="2"/>
      <c r="Q4" s="2"/>
      <c r="R4" s="2"/>
      <c r="S4" s="2"/>
      <c r="T4" s="2"/>
      <c r="U4" s="2"/>
      <c r="V4" s="2"/>
      <c r="W4" s="2"/>
      <c r="X4" s="2"/>
      <c r="Y4" s="2"/>
      <c r="Z4" s="2"/>
    </row>
    <row r="5" spans="1:26" ht="15">
      <c r="A5" s="1" t="s">
        <v>138</v>
      </c>
      <c r="B5" s="1" t="s">
        <v>139</v>
      </c>
      <c r="C5" s="1" t="s">
        <v>257</v>
      </c>
      <c r="D5" s="1" t="s">
        <v>258</v>
      </c>
      <c r="E5" s="1" t="s">
        <v>15</v>
      </c>
      <c r="F5" s="1" t="s">
        <v>259</v>
      </c>
      <c r="G5" s="2"/>
      <c r="H5" s="2"/>
      <c r="I5" s="2"/>
      <c r="J5" s="2"/>
      <c r="K5" s="2"/>
      <c r="L5" s="2"/>
      <c r="M5" s="2"/>
      <c r="N5" s="2"/>
      <c r="O5" s="2"/>
      <c r="P5" s="2"/>
      <c r="Q5" s="2"/>
      <c r="R5" s="2"/>
      <c r="S5" s="2"/>
      <c r="T5" s="2"/>
      <c r="U5" s="2"/>
      <c r="V5" s="2"/>
      <c r="W5" s="2"/>
      <c r="X5" s="2"/>
      <c r="Y5" s="2"/>
      <c r="Z5" s="2"/>
    </row>
    <row r="6" spans="1:26" ht="28.5">
      <c r="A6" s="2" t="s">
        <v>57</v>
      </c>
      <c r="B6" s="2">
        <v>5</v>
      </c>
      <c r="C6" s="2" t="s">
        <v>260</v>
      </c>
      <c r="D6" s="2" t="s">
        <v>261</v>
      </c>
      <c r="E6" s="2" t="s">
        <v>262</v>
      </c>
      <c r="F6" s="2" t="s">
        <v>263</v>
      </c>
      <c r="G6" s="2"/>
      <c r="H6" s="2"/>
      <c r="I6" s="2"/>
      <c r="J6" s="2"/>
      <c r="K6" s="2"/>
      <c r="L6" s="2"/>
      <c r="M6" s="2"/>
      <c r="N6" s="2"/>
      <c r="O6" s="2"/>
      <c r="P6" s="2"/>
      <c r="Q6" s="2"/>
      <c r="R6" s="2"/>
      <c r="S6" s="2"/>
      <c r="T6" s="2"/>
      <c r="U6" s="2"/>
      <c r="V6" s="2"/>
      <c r="W6" s="2"/>
      <c r="X6" s="2"/>
      <c r="Y6" s="2"/>
      <c r="Z6" s="2"/>
    </row>
    <row r="7" spans="1:26">
      <c r="A7" s="2" t="s">
        <v>60</v>
      </c>
      <c r="B7" s="2">
        <v>5</v>
      </c>
      <c r="C7" s="2" t="s">
        <v>264</v>
      </c>
      <c r="D7" s="2" t="s">
        <v>265</v>
      </c>
      <c r="E7" s="2" t="s">
        <v>266</v>
      </c>
      <c r="F7" s="2" t="s">
        <v>267</v>
      </c>
      <c r="G7" s="2"/>
      <c r="H7" s="2"/>
      <c r="I7" s="2"/>
      <c r="J7" s="2"/>
      <c r="K7" s="2"/>
      <c r="L7" s="2"/>
      <c r="M7" s="2"/>
      <c r="N7" s="2"/>
      <c r="O7" s="2"/>
      <c r="P7" s="2"/>
      <c r="Q7" s="2"/>
      <c r="R7" s="2"/>
      <c r="S7" s="2"/>
      <c r="T7" s="2"/>
      <c r="U7" s="2"/>
      <c r="V7" s="2"/>
      <c r="W7" s="2"/>
      <c r="X7" s="2"/>
      <c r="Y7" s="2"/>
      <c r="Z7" s="2"/>
    </row>
    <row r="8" spans="1:26" ht="28.5">
      <c r="A8" s="2" t="s">
        <v>63</v>
      </c>
      <c r="B8" s="2">
        <v>5</v>
      </c>
      <c r="C8" s="2" t="s">
        <v>268</v>
      </c>
      <c r="D8" s="2" t="s">
        <v>269</v>
      </c>
      <c r="E8" s="2" t="s">
        <v>270</v>
      </c>
      <c r="F8" s="2" t="s">
        <v>271</v>
      </c>
      <c r="G8" s="2"/>
      <c r="H8" s="2"/>
      <c r="I8" s="2"/>
      <c r="J8" s="2"/>
      <c r="K8" s="2"/>
      <c r="L8" s="2"/>
      <c r="M8" s="2"/>
      <c r="N8" s="2"/>
      <c r="O8" s="2"/>
      <c r="P8" s="2"/>
      <c r="Q8" s="2"/>
      <c r="R8" s="2"/>
      <c r="S8" s="2"/>
      <c r="T8" s="2"/>
      <c r="U8" s="2"/>
      <c r="V8" s="2"/>
      <c r="W8" s="2"/>
      <c r="X8" s="2"/>
      <c r="Y8" s="2"/>
      <c r="Z8" s="2"/>
    </row>
    <row r="9" spans="1:26">
      <c r="A9" s="2" t="s">
        <v>66</v>
      </c>
      <c r="B9" s="2">
        <v>5</v>
      </c>
      <c r="C9" s="2" t="s">
        <v>272</v>
      </c>
      <c r="D9" s="2" t="s">
        <v>273</v>
      </c>
      <c r="E9" s="2" t="s">
        <v>274</v>
      </c>
      <c r="F9" s="2" t="s">
        <v>275</v>
      </c>
      <c r="G9" s="2"/>
      <c r="H9" s="2"/>
      <c r="I9" s="2"/>
      <c r="J9" s="2"/>
      <c r="K9" s="2"/>
      <c r="L9" s="2"/>
      <c r="M9" s="2"/>
      <c r="N9" s="2"/>
      <c r="O9" s="2"/>
      <c r="P9" s="2"/>
      <c r="Q9" s="2"/>
      <c r="R9" s="2"/>
      <c r="S9" s="2"/>
      <c r="T9" s="2"/>
      <c r="U9" s="2"/>
      <c r="V9" s="2"/>
      <c r="W9" s="2"/>
      <c r="X9" s="2"/>
      <c r="Y9" s="2"/>
      <c r="Z9" s="2"/>
    </row>
    <row r="10" spans="1:26">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21.95" customHeight="1">
      <c r="A11" s="14" t="s">
        <v>276</v>
      </c>
      <c r="B11" s="14"/>
      <c r="C11" s="14"/>
      <c r="D11" s="14"/>
      <c r="E11" s="14"/>
      <c r="F11" s="14"/>
      <c r="G11" s="2"/>
      <c r="H11" s="2"/>
      <c r="I11" s="2"/>
      <c r="J11" s="2"/>
      <c r="K11" s="2"/>
      <c r="L11" s="2"/>
      <c r="M11" s="2"/>
      <c r="N11" s="2"/>
      <c r="O11" s="2"/>
      <c r="P11" s="2"/>
      <c r="Q11" s="2"/>
      <c r="R11" s="2"/>
      <c r="S11" s="2"/>
      <c r="T11" s="2"/>
      <c r="U11" s="2"/>
      <c r="V11" s="2"/>
      <c r="W11" s="2"/>
      <c r="X11" s="2"/>
      <c r="Y11" s="2"/>
      <c r="Z11" s="2"/>
    </row>
    <row r="12" spans="1:26" ht="48" customHeight="1">
      <c r="A12" s="15" t="s">
        <v>277</v>
      </c>
      <c r="B12" s="15"/>
      <c r="C12" s="15"/>
      <c r="D12" s="15"/>
      <c r="E12" s="15"/>
      <c r="F12" s="15"/>
      <c r="G12" s="2"/>
      <c r="H12" s="2"/>
      <c r="I12" s="2"/>
      <c r="J12" s="2"/>
      <c r="K12" s="2"/>
      <c r="L12" s="2"/>
      <c r="M12" s="2"/>
      <c r="N12" s="2"/>
      <c r="O12" s="2"/>
      <c r="P12" s="2"/>
      <c r="Q12" s="2"/>
      <c r="R12" s="2"/>
      <c r="S12" s="2"/>
      <c r="T12" s="2"/>
      <c r="U12" s="2"/>
      <c r="V12" s="2"/>
      <c r="W12" s="2"/>
      <c r="X12" s="2"/>
      <c r="Y12" s="2"/>
      <c r="Z12" s="2"/>
    </row>
    <row r="13" spans="1:26" ht="48" customHeight="1">
      <c r="A13" s="15"/>
      <c r="B13" s="15"/>
      <c r="C13" s="15"/>
      <c r="D13" s="15"/>
      <c r="E13" s="15"/>
      <c r="F13" s="15"/>
      <c r="G13" s="2"/>
      <c r="H13" s="2"/>
      <c r="I13" s="2"/>
      <c r="J13" s="2"/>
      <c r="K13" s="2"/>
      <c r="L13" s="2"/>
      <c r="M13" s="2"/>
      <c r="N13" s="2"/>
      <c r="O13" s="2"/>
      <c r="P13" s="2"/>
      <c r="Q13" s="2"/>
      <c r="R13" s="2"/>
      <c r="S13" s="2"/>
      <c r="T13" s="2"/>
      <c r="U13" s="2"/>
      <c r="V13" s="2"/>
      <c r="W13" s="2"/>
      <c r="X13" s="2"/>
      <c r="Y13" s="2"/>
      <c r="Z13" s="2"/>
    </row>
    <row r="14" spans="1:26" ht="48" customHeight="1">
      <c r="A14" s="15"/>
      <c r="B14" s="15"/>
      <c r="C14" s="15"/>
      <c r="D14" s="15"/>
      <c r="E14" s="15"/>
      <c r="F14" s="15"/>
      <c r="G14" s="2"/>
      <c r="H14" s="2"/>
      <c r="I14" s="2"/>
      <c r="J14" s="2"/>
      <c r="K14" s="2"/>
      <c r="L14" s="2"/>
      <c r="M14" s="2"/>
      <c r="N14" s="2"/>
      <c r="O14" s="2"/>
      <c r="P14" s="2"/>
      <c r="Q14" s="2"/>
      <c r="R14" s="2"/>
      <c r="S14" s="2"/>
      <c r="T14" s="2"/>
      <c r="U14" s="2"/>
      <c r="V14" s="2"/>
      <c r="W14" s="2"/>
      <c r="X14" s="2"/>
      <c r="Y14" s="2"/>
      <c r="Z14" s="2"/>
    </row>
    <row r="15" spans="1:26" ht="48" customHeight="1">
      <c r="A15" s="15"/>
      <c r="B15" s="15"/>
      <c r="C15" s="15"/>
      <c r="D15" s="15"/>
      <c r="E15" s="15"/>
      <c r="F15" s="15"/>
      <c r="G15" s="2"/>
      <c r="H15" s="2"/>
      <c r="I15" s="2"/>
      <c r="J15" s="2"/>
      <c r="K15" s="2"/>
      <c r="L15" s="2"/>
      <c r="M15" s="2"/>
      <c r="N15" s="2"/>
      <c r="O15" s="2"/>
      <c r="P15" s="2"/>
      <c r="Q15" s="2"/>
      <c r="R15" s="2"/>
      <c r="S15" s="2"/>
      <c r="T15" s="2"/>
      <c r="U15" s="2"/>
      <c r="V15" s="2"/>
      <c r="W15" s="2"/>
      <c r="X15" s="2"/>
      <c r="Y15" s="2"/>
      <c r="Z15" s="2"/>
    </row>
    <row r="16" spans="1:26" ht="48" customHeight="1">
      <c r="A16" s="15"/>
      <c r="B16" s="15"/>
      <c r="C16" s="15"/>
      <c r="D16" s="15"/>
      <c r="E16" s="15"/>
      <c r="F16" s="15"/>
      <c r="G16" s="2"/>
      <c r="H16" s="2"/>
      <c r="I16" s="2"/>
      <c r="J16" s="2"/>
      <c r="K16" s="2"/>
      <c r="L16" s="2"/>
      <c r="M16" s="2"/>
      <c r="N16" s="2"/>
      <c r="O16" s="2"/>
      <c r="P16" s="2"/>
      <c r="Q16" s="2"/>
      <c r="R16" s="2"/>
      <c r="S16" s="2"/>
      <c r="T16" s="2"/>
      <c r="U16" s="2"/>
      <c r="V16" s="2"/>
      <c r="W16" s="2"/>
      <c r="X16" s="2"/>
      <c r="Y16" s="2"/>
      <c r="Z16" s="2"/>
    </row>
    <row r="17" spans="1:26">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sheetData>
  <mergeCells count="4">
    <mergeCell ref="A1:F1"/>
    <mergeCell ref="A2:F3"/>
    <mergeCell ref="A11:F11"/>
    <mergeCell ref="A12:F16"/>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20"/>
  <sheetViews>
    <sheetView workbookViewId="0">
      <selection sqref="A1:P1"/>
    </sheetView>
  </sheetViews>
  <sheetFormatPr defaultRowHeight="14.25"/>
  <cols>
    <col min="1" max="1" width="7" customWidth="1"/>
    <col min="2" max="2" width="12" customWidth="1"/>
    <col min="3" max="3" width="15" customWidth="1"/>
    <col min="4" max="4" width="20" customWidth="1"/>
    <col min="5" max="6" width="14" customWidth="1"/>
    <col min="7" max="7" width="17" customWidth="1"/>
    <col min="8" max="8" width="15" customWidth="1"/>
    <col min="9" max="9" width="16" customWidth="1"/>
    <col min="10" max="10" width="13" customWidth="1"/>
    <col min="11" max="11" width="16" customWidth="1"/>
    <col min="12" max="12" width="10" customWidth="1"/>
    <col min="13" max="13" width="12" customWidth="1"/>
    <col min="14" max="14" width="30" customWidth="1"/>
    <col min="15" max="15" width="14" customWidth="1"/>
    <col min="16" max="16" width="24" customWidth="1"/>
  </cols>
  <sheetData>
    <row r="1" spans="1:26" ht="30" customHeight="1">
      <c r="A1" s="13" t="s">
        <v>278</v>
      </c>
      <c r="B1" s="13"/>
      <c r="C1" s="13"/>
      <c r="D1" s="13"/>
      <c r="E1" s="13"/>
      <c r="F1" s="13"/>
      <c r="G1" s="13"/>
      <c r="H1" s="13"/>
      <c r="I1" s="13"/>
      <c r="J1" s="13"/>
      <c r="K1" s="13"/>
      <c r="L1" s="13"/>
      <c r="M1" s="13"/>
      <c r="N1" s="13"/>
      <c r="O1" s="13"/>
      <c r="P1" s="13"/>
      <c r="Q1" s="2"/>
      <c r="R1" s="2"/>
      <c r="S1" s="2"/>
      <c r="T1" s="2"/>
      <c r="U1" s="2"/>
      <c r="V1" s="2"/>
      <c r="W1" s="2"/>
      <c r="X1" s="2"/>
      <c r="Y1" s="2"/>
      <c r="Z1" s="2"/>
    </row>
    <row r="2" spans="1:26" ht="42" customHeight="1">
      <c r="A2" s="15" t="s">
        <v>279</v>
      </c>
      <c r="B2" s="15"/>
      <c r="C2" s="15"/>
      <c r="D2" s="15"/>
      <c r="E2" s="15"/>
      <c r="F2" s="15"/>
      <c r="G2" s="15"/>
      <c r="H2" s="15"/>
      <c r="I2" s="15"/>
      <c r="J2" s="15"/>
      <c r="K2" s="15"/>
      <c r="L2" s="15"/>
      <c r="M2" s="15"/>
      <c r="N2" s="15"/>
      <c r="O2" s="15"/>
      <c r="P2" s="15"/>
      <c r="Q2" s="2"/>
      <c r="R2" s="2"/>
      <c r="S2" s="2"/>
      <c r="T2" s="2"/>
      <c r="U2" s="2"/>
      <c r="V2" s="2"/>
      <c r="W2" s="2"/>
      <c r="X2" s="2"/>
      <c r="Y2" s="2"/>
      <c r="Z2" s="2"/>
    </row>
    <row r="3" spans="1:26" ht="42" customHeight="1">
      <c r="A3" s="15"/>
      <c r="B3" s="15"/>
      <c r="C3" s="15"/>
      <c r="D3" s="15"/>
      <c r="E3" s="15"/>
      <c r="F3" s="15"/>
      <c r="G3" s="15"/>
      <c r="H3" s="15"/>
      <c r="I3" s="15"/>
      <c r="J3" s="15"/>
      <c r="K3" s="15"/>
      <c r="L3" s="15"/>
      <c r="M3" s="15"/>
      <c r="N3" s="15"/>
      <c r="O3" s="15"/>
      <c r="P3" s="15"/>
      <c r="Q3" s="2"/>
      <c r="R3" s="2"/>
      <c r="S3" s="2"/>
      <c r="T3" s="2"/>
      <c r="U3" s="2"/>
      <c r="V3" s="2"/>
      <c r="W3" s="2"/>
      <c r="X3" s="2"/>
      <c r="Y3" s="2"/>
      <c r="Z3" s="2"/>
    </row>
    <row r="4" spans="1:26">
      <c r="A4" s="2"/>
      <c r="B4" s="2"/>
      <c r="C4" s="2"/>
      <c r="D4" s="2"/>
      <c r="E4" s="2"/>
      <c r="F4" s="2"/>
      <c r="G4" s="2"/>
      <c r="H4" s="2"/>
      <c r="I4" s="2"/>
      <c r="J4" s="2"/>
      <c r="K4" s="2"/>
      <c r="L4" s="2"/>
      <c r="M4" s="2"/>
      <c r="N4" s="2"/>
      <c r="O4" s="2"/>
      <c r="P4" s="2"/>
      <c r="Q4" s="2"/>
      <c r="R4" s="2"/>
      <c r="S4" s="2"/>
      <c r="T4" s="2"/>
      <c r="U4" s="2"/>
      <c r="V4" s="2"/>
      <c r="W4" s="2"/>
      <c r="X4" s="2"/>
      <c r="Y4" s="2"/>
      <c r="Z4" s="2"/>
    </row>
    <row r="5" spans="1:26" ht="30">
      <c r="A5" s="1" t="s">
        <v>280</v>
      </c>
      <c r="B5" s="1" t="s">
        <v>281</v>
      </c>
      <c r="C5" s="1" t="s">
        <v>43</v>
      </c>
      <c r="D5" s="1" t="s">
        <v>282</v>
      </c>
      <c r="E5" s="1" t="s">
        <v>283</v>
      </c>
      <c r="F5" s="1" t="s">
        <v>284</v>
      </c>
      <c r="G5" s="1" t="s">
        <v>45</v>
      </c>
      <c r="H5" s="1" t="s">
        <v>49</v>
      </c>
      <c r="I5" s="1" t="s">
        <v>53</v>
      </c>
      <c r="J5" s="1" t="s">
        <v>285</v>
      </c>
      <c r="K5" s="1" t="s">
        <v>286</v>
      </c>
      <c r="L5" s="1" t="s">
        <v>287</v>
      </c>
      <c r="M5" s="1" t="s">
        <v>288</v>
      </c>
      <c r="N5" s="1" t="s">
        <v>83</v>
      </c>
      <c r="O5" s="1" t="s">
        <v>55</v>
      </c>
      <c r="P5" s="1" t="s">
        <v>289</v>
      </c>
      <c r="Q5" s="2"/>
      <c r="R5" s="2"/>
      <c r="S5" s="2"/>
      <c r="T5" s="2"/>
      <c r="U5" s="2"/>
      <c r="V5" s="2"/>
      <c r="W5" s="2"/>
      <c r="X5" s="2"/>
      <c r="Y5" s="2"/>
      <c r="Z5" s="2"/>
    </row>
    <row r="6" spans="1:26">
      <c r="A6" s="2">
        <v>1</v>
      </c>
      <c r="B6" s="4">
        <v>46223</v>
      </c>
      <c r="C6" s="5"/>
      <c r="D6" s="5"/>
      <c r="E6" s="6"/>
      <c r="F6" s="6"/>
      <c r="G6" s="7"/>
      <c r="H6" s="7"/>
      <c r="I6" s="7"/>
      <c r="J6" s="5"/>
      <c r="K6" s="8"/>
      <c r="L6" s="8"/>
      <c r="M6" s="8"/>
      <c r="N6" s="8"/>
      <c r="O6" s="9" t="str">
        <f t="shared" ref="O6:O17" si="0">IF(C6="","",ROUND(100*((MIN(C6/80,1)+MIN(D6/100,1)+IF(E6="",0,MIN(2.2/E6,1))+IF(F6="",0,MIN(3.6/F6,1))+G6+H6+I6+MIN(J6/10,1))/8),0))</f>
        <v/>
      </c>
      <c r="P6" s="3" t="str">
        <f t="shared" ref="P6:P17" si="1">IF(O6="","",IF(J6&lt;8,"Scan before receiving",IF(G6&lt;0.7,"Finishing on frame",IF(H6&lt;0.6,"1v1 defending",IF(I6&lt;0.6,"1v1 attacking",IF(D6&lt;100,"Weak-foot passing","Keep building"))))))</f>
        <v/>
      </c>
      <c r="Q6" s="2"/>
      <c r="R6" s="2"/>
      <c r="S6" s="2"/>
      <c r="T6" s="2"/>
      <c r="U6" s="2"/>
      <c r="V6" s="2"/>
      <c r="W6" s="2"/>
      <c r="X6" s="2"/>
      <c r="Y6" s="2"/>
      <c r="Z6" s="2"/>
    </row>
    <row r="7" spans="1:26">
      <c r="A7" s="2">
        <v>2</v>
      </c>
      <c r="B7" s="4">
        <v>46230</v>
      </c>
      <c r="C7" s="5"/>
      <c r="D7" s="5"/>
      <c r="E7" s="6"/>
      <c r="F7" s="6"/>
      <c r="G7" s="7"/>
      <c r="H7" s="7"/>
      <c r="I7" s="7"/>
      <c r="J7" s="5"/>
      <c r="K7" s="8"/>
      <c r="L7" s="8"/>
      <c r="M7" s="8"/>
      <c r="N7" s="8"/>
      <c r="O7" s="9" t="str">
        <f t="shared" si="0"/>
        <v/>
      </c>
      <c r="P7" s="3" t="str">
        <f t="shared" si="1"/>
        <v/>
      </c>
      <c r="Q7" s="2"/>
      <c r="R7" s="2"/>
      <c r="S7" s="2"/>
      <c r="T7" s="2"/>
      <c r="U7" s="2"/>
      <c r="V7" s="2"/>
      <c r="W7" s="2"/>
      <c r="X7" s="2"/>
      <c r="Y7" s="2"/>
      <c r="Z7" s="2"/>
    </row>
    <row r="8" spans="1:26">
      <c r="A8" s="2">
        <v>3</v>
      </c>
      <c r="B8" s="4">
        <v>46237</v>
      </c>
      <c r="C8" s="5"/>
      <c r="D8" s="5"/>
      <c r="E8" s="6"/>
      <c r="F8" s="6"/>
      <c r="G8" s="7"/>
      <c r="H8" s="7"/>
      <c r="I8" s="7"/>
      <c r="J8" s="5"/>
      <c r="K8" s="8"/>
      <c r="L8" s="8"/>
      <c r="M8" s="8"/>
      <c r="N8" s="8"/>
      <c r="O8" s="9" t="str">
        <f t="shared" si="0"/>
        <v/>
      </c>
      <c r="P8" s="3" t="str">
        <f t="shared" si="1"/>
        <v/>
      </c>
      <c r="Q8" s="2"/>
      <c r="R8" s="2"/>
      <c r="S8" s="2"/>
      <c r="T8" s="2"/>
      <c r="U8" s="2"/>
      <c r="V8" s="2"/>
      <c r="W8" s="2"/>
      <c r="X8" s="2"/>
      <c r="Y8" s="2"/>
      <c r="Z8" s="2"/>
    </row>
    <row r="9" spans="1:26">
      <c r="A9" s="2">
        <v>4</v>
      </c>
      <c r="B9" s="4">
        <v>46244</v>
      </c>
      <c r="C9" s="5"/>
      <c r="D9" s="5"/>
      <c r="E9" s="6"/>
      <c r="F9" s="6"/>
      <c r="G9" s="7"/>
      <c r="H9" s="7"/>
      <c r="I9" s="7"/>
      <c r="J9" s="5"/>
      <c r="K9" s="8"/>
      <c r="L9" s="8"/>
      <c r="M9" s="8"/>
      <c r="N9" s="8"/>
      <c r="O9" s="9" t="str">
        <f t="shared" si="0"/>
        <v/>
      </c>
      <c r="P9" s="3" t="str">
        <f t="shared" si="1"/>
        <v/>
      </c>
      <c r="Q9" s="2"/>
      <c r="R9" s="2"/>
      <c r="S9" s="2"/>
      <c r="T9" s="2"/>
      <c r="U9" s="2"/>
      <c r="V9" s="2"/>
      <c r="W9" s="2"/>
      <c r="X9" s="2"/>
      <c r="Y9" s="2"/>
      <c r="Z9" s="2"/>
    </row>
    <row r="10" spans="1:26">
      <c r="A10" s="2">
        <v>5</v>
      </c>
      <c r="B10" s="4">
        <v>46251</v>
      </c>
      <c r="C10" s="5"/>
      <c r="D10" s="5"/>
      <c r="E10" s="6"/>
      <c r="F10" s="6"/>
      <c r="G10" s="7"/>
      <c r="H10" s="7"/>
      <c r="I10" s="7"/>
      <c r="J10" s="5"/>
      <c r="K10" s="8"/>
      <c r="L10" s="8"/>
      <c r="M10" s="8"/>
      <c r="N10" s="8"/>
      <c r="O10" s="9" t="str">
        <f t="shared" si="0"/>
        <v/>
      </c>
      <c r="P10" s="3" t="str">
        <f t="shared" si="1"/>
        <v/>
      </c>
      <c r="Q10" s="2"/>
      <c r="R10" s="2"/>
      <c r="S10" s="2"/>
      <c r="T10" s="2"/>
      <c r="U10" s="2"/>
      <c r="V10" s="2"/>
      <c r="W10" s="2"/>
      <c r="X10" s="2"/>
      <c r="Y10" s="2"/>
      <c r="Z10" s="2"/>
    </row>
    <row r="11" spans="1:26">
      <c r="A11" s="2">
        <v>6</v>
      </c>
      <c r="B11" s="4">
        <v>46258</v>
      </c>
      <c r="C11" s="5"/>
      <c r="D11" s="5"/>
      <c r="E11" s="6"/>
      <c r="F11" s="6"/>
      <c r="G11" s="7"/>
      <c r="H11" s="7"/>
      <c r="I11" s="7"/>
      <c r="J11" s="5"/>
      <c r="K11" s="8"/>
      <c r="L11" s="8"/>
      <c r="M11" s="8"/>
      <c r="N11" s="8"/>
      <c r="O11" s="9" t="str">
        <f t="shared" si="0"/>
        <v/>
      </c>
      <c r="P11" s="3" t="str">
        <f t="shared" si="1"/>
        <v/>
      </c>
      <c r="Q11" s="2"/>
      <c r="R11" s="2"/>
      <c r="S11" s="2"/>
      <c r="T11" s="2"/>
      <c r="U11" s="2"/>
      <c r="V11" s="2"/>
      <c r="W11" s="2"/>
      <c r="X11" s="2"/>
      <c r="Y11" s="2"/>
      <c r="Z11" s="2"/>
    </row>
    <row r="12" spans="1:26">
      <c r="A12" s="2">
        <v>7</v>
      </c>
      <c r="B12" s="4">
        <v>46265</v>
      </c>
      <c r="C12" s="5"/>
      <c r="D12" s="5"/>
      <c r="E12" s="6"/>
      <c r="F12" s="6"/>
      <c r="G12" s="7"/>
      <c r="H12" s="7"/>
      <c r="I12" s="7"/>
      <c r="J12" s="5"/>
      <c r="K12" s="8"/>
      <c r="L12" s="8"/>
      <c r="M12" s="8"/>
      <c r="N12" s="8"/>
      <c r="O12" s="9" t="str">
        <f t="shared" si="0"/>
        <v/>
      </c>
      <c r="P12" s="3" t="str">
        <f t="shared" si="1"/>
        <v/>
      </c>
      <c r="Q12" s="2"/>
      <c r="R12" s="2"/>
      <c r="S12" s="2"/>
      <c r="T12" s="2"/>
      <c r="U12" s="2"/>
      <c r="V12" s="2"/>
      <c r="W12" s="2"/>
      <c r="X12" s="2"/>
      <c r="Y12" s="2"/>
      <c r="Z12" s="2"/>
    </row>
    <row r="13" spans="1:26">
      <c r="A13" s="2">
        <v>8</v>
      </c>
      <c r="B13" s="4">
        <v>46272</v>
      </c>
      <c r="C13" s="5"/>
      <c r="D13" s="5"/>
      <c r="E13" s="6"/>
      <c r="F13" s="6"/>
      <c r="G13" s="7"/>
      <c r="H13" s="7"/>
      <c r="I13" s="7"/>
      <c r="J13" s="5"/>
      <c r="K13" s="8"/>
      <c r="L13" s="8"/>
      <c r="M13" s="8"/>
      <c r="N13" s="8"/>
      <c r="O13" s="9" t="str">
        <f t="shared" si="0"/>
        <v/>
      </c>
      <c r="P13" s="3" t="str">
        <f t="shared" si="1"/>
        <v/>
      </c>
      <c r="Q13" s="2"/>
      <c r="R13" s="2"/>
      <c r="S13" s="2"/>
      <c r="T13" s="2"/>
      <c r="U13" s="2"/>
      <c r="V13" s="2"/>
      <c r="W13" s="2"/>
      <c r="X13" s="2"/>
      <c r="Y13" s="2"/>
      <c r="Z13" s="2"/>
    </row>
    <row r="14" spans="1:26">
      <c r="A14" s="2">
        <v>9</v>
      </c>
      <c r="B14" s="4">
        <v>46279</v>
      </c>
      <c r="C14" s="5"/>
      <c r="D14" s="5"/>
      <c r="E14" s="6"/>
      <c r="F14" s="6"/>
      <c r="G14" s="7"/>
      <c r="H14" s="7"/>
      <c r="I14" s="7"/>
      <c r="J14" s="5"/>
      <c r="K14" s="8"/>
      <c r="L14" s="8"/>
      <c r="M14" s="8"/>
      <c r="N14" s="8"/>
      <c r="O14" s="9" t="str">
        <f t="shared" si="0"/>
        <v/>
      </c>
      <c r="P14" s="3" t="str">
        <f t="shared" si="1"/>
        <v/>
      </c>
      <c r="Q14" s="2"/>
      <c r="R14" s="2"/>
      <c r="S14" s="2"/>
      <c r="T14" s="2"/>
      <c r="U14" s="2"/>
      <c r="V14" s="2"/>
      <c r="W14" s="2"/>
      <c r="X14" s="2"/>
      <c r="Y14" s="2"/>
      <c r="Z14" s="2"/>
    </row>
    <row r="15" spans="1:26">
      <c r="A15" s="2">
        <v>10</v>
      </c>
      <c r="B15" s="4">
        <v>46286</v>
      </c>
      <c r="C15" s="5"/>
      <c r="D15" s="5"/>
      <c r="E15" s="6"/>
      <c r="F15" s="6"/>
      <c r="G15" s="7"/>
      <c r="H15" s="7"/>
      <c r="I15" s="7"/>
      <c r="J15" s="5"/>
      <c r="K15" s="8"/>
      <c r="L15" s="8"/>
      <c r="M15" s="8"/>
      <c r="N15" s="8"/>
      <c r="O15" s="9" t="str">
        <f t="shared" si="0"/>
        <v/>
      </c>
      <c r="P15" s="3" t="str">
        <f t="shared" si="1"/>
        <v/>
      </c>
      <c r="Q15" s="2"/>
      <c r="R15" s="2"/>
      <c r="S15" s="2"/>
      <c r="T15" s="2"/>
      <c r="U15" s="2"/>
      <c r="V15" s="2"/>
      <c r="W15" s="2"/>
      <c r="X15" s="2"/>
      <c r="Y15" s="2"/>
      <c r="Z15" s="2"/>
    </row>
    <row r="16" spans="1:26">
      <c r="A16" s="2">
        <v>11</v>
      </c>
      <c r="B16" s="4">
        <v>46293</v>
      </c>
      <c r="C16" s="5"/>
      <c r="D16" s="5"/>
      <c r="E16" s="6"/>
      <c r="F16" s="6"/>
      <c r="G16" s="7"/>
      <c r="H16" s="7"/>
      <c r="I16" s="7"/>
      <c r="J16" s="5"/>
      <c r="K16" s="8"/>
      <c r="L16" s="8"/>
      <c r="M16" s="8"/>
      <c r="N16" s="8"/>
      <c r="O16" s="9" t="str">
        <f t="shared" si="0"/>
        <v/>
      </c>
      <c r="P16" s="3" t="str">
        <f t="shared" si="1"/>
        <v/>
      </c>
      <c r="Q16" s="2"/>
      <c r="R16" s="2"/>
      <c r="S16" s="2"/>
      <c r="T16" s="2"/>
      <c r="U16" s="2"/>
      <c r="V16" s="2"/>
      <c r="W16" s="2"/>
      <c r="X16" s="2"/>
      <c r="Y16" s="2"/>
      <c r="Z16" s="2"/>
    </row>
    <row r="17" spans="1:26">
      <c r="A17" s="2">
        <v>12</v>
      </c>
      <c r="B17" s="4">
        <v>46300</v>
      </c>
      <c r="C17" s="5"/>
      <c r="D17" s="5"/>
      <c r="E17" s="6"/>
      <c r="F17" s="6"/>
      <c r="G17" s="7"/>
      <c r="H17" s="7"/>
      <c r="I17" s="7"/>
      <c r="J17" s="5"/>
      <c r="K17" s="8"/>
      <c r="L17" s="8"/>
      <c r="M17" s="8"/>
      <c r="N17" s="8"/>
      <c r="O17" s="9" t="str">
        <f t="shared" si="0"/>
        <v/>
      </c>
      <c r="P17" s="3" t="str">
        <f t="shared" si="1"/>
        <v/>
      </c>
      <c r="Q17" s="2"/>
      <c r="R17" s="2"/>
      <c r="S17" s="2"/>
      <c r="T17" s="2"/>
      <c r="U17" s="2"/>
      <c r="V17" s="2"/>
      <c r="W17" s="2"/>
      <c r="X17" s="2"/>
      <c r="Y17" s="2"/>
      <c r="Z17" s="2"/>
    </row>
    <row r="18" spans="1:26">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sheetData>
  <mergeCells count="2">
    <mergeCell ref="A1:P1"/>
    <mergeCell ref="A2:P3"/>
  </mergeCells>
  <conditionalFormatting sqref="G6:I17">
    <cfRule type="colorScale" priority="2">
      <colorScale>
        <cfvo type="min"/>
        <cfvo type="percentile" val="50"/>
        <cfvo type="max"/>
        <color rgb="FFFEE2E2"/>
        <color rgb="FFFEF3C7"/>
        <color rgb="FFDCFCE7"/>
      </colorScale>
    </cfRule>
  </conditionalFormatting>
  <conditionalFormatting sqref="J6:J17">
    <cfRule type="cellIs" dxfId="4" priority="3" operator="lessThan">
      <formula>8</formula>
    </cfRule>
  </conditionalFormatting>
  <conditionalFormatting sqref="O6:O17">
    <cfRule type="dataBar" priority="1">
      <dataBar>
        <cfvo type="min"/>
        <cfvo type="max"/>
        <color rgb="FF16A34A"/>
      </dataBar>
    </cfRule>
    <cfRule type="dataBar" priority="4">
      <dataBar>
        <cfvo type="min"/>
        <cfvo type="max"/>
        <color rgb="FF16A34A"/>
      </dataBar>
      <extLst>
        <ext xmlns:x14="http://schemas.microsoft.com/office/spreadsheetml/2009/9/main" uri="{B025F937-C7B1-47D3-B67F-A62EFF666E3E}">
          <x14:id>{CD447A3B-F607-7200-6128-A7008031C38D}</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CD447A3B-F607-7200-6128-A7008031C38D}">
            <x14:dataBar>
              <x14:cfvo type="min"/>
              <x14:cfvo type="max"/>
              <x14:negativeFillColor auto="1"/>
              <x14:axisColor auto="1"/>
            </x14:dataBar>
          </x14:cfRule>
          <xm:sqref>O6:O17</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20"/>
  <sheetViews>
    <sheetView topLeftCell="A3" workbookViewId="0">
      <selection activeCell="D6" sqref="D6"/>
    </sheetView>
  </sheetViews>
  <sheetFormatPr defaultRowHeight="14.25"/>
  <cols>
    <col min="1" max="2" width="12" customWidth="1"/>
    <col min="3" max="3" width="20" customWidth="1"/>
    <col min="4" max="4" width="12" customWidth="1"/>
    <col min="5" max="5" width="13" customWidth="1"/>
    <col min="6" max="6" width="10" customWidth="1"/>
    <col min="7" max="7" width="13" customWidth="1"/>
    <col min="8" max="8" width="12" customWidth="1"/>
    <col min="9" max="9" width="14" customWidth="1"/>
    <col min="10" max="11" width="28" customWidth="1"/>
    <col min="12" max="12" width="40" customWidth="1"/>
  </cols>
  <sheetData>
    <row r="1" spans="1:26" ht="30" customHeight="1">
      <c r="A1" s="13" t="s">
        <v>290</v>
      </c>
      <c r="B1" s="13"/>
      <c r="C1" s="13"/>
      <c r="D1" s="13"/>
      <c r="E1" s="13"/>
      <c r="F1" s="13"/>
      <c r="G1" s="13"/>
      <c r="H1" s="13"/>
      <c r="I1" s="13"/>
      <c r="J1" s="13"/>
      <c r="K1" s="13"/>
      <c r="L1" s="13"/>
      <c r="M1" s="2"/>
      <c r="N1" s="2"/>
      <c r="O1" s="2"/>
      <c r="P1" s="2"/>
      <c r="Q1" s="2"/>
      <c r="R1" s="2"/>
      <c r="S1" s="2"/>
      <c r="T1" s="2"/>
      <c r="U1" s="2"/>
      <c r="V1" s="2"/>
      <c r="W1" s="2"/>
      <c r="X1" s="2"/>
      <c r="Y1" s="2"/>
      <c r="Z1" s="2"/>
    </row>
    <row r="2" spans="1:26" ht="42" customHeight="1">
      <c r="A2" s="15" t="s">
        <v>291</v>
      </c>
      <c r="B2" s="15"/>
      <c r="C2" s="15"/>
      <c r="D2" s="15"/>
      <c r="E2" s="15"/>
      <c r="F2" s="15"/>
      <c r="G2" s="15"/>
      <c r="H2" s="15"/>
      <c r="I2" s="15"/>
      <c r="J2" s="15"/>
      <c r="K2" s="15"/>
      <c r="L2" s="15"/>
      <c r="M2" s="2"/>
      <c r="N2" s="2"/>
      <c r="O2" s="2"/>
      <c r="P2" s="2"/>
      <c r="Q2" s="2"/>
      <c r="R2" s="2"/>
      <c r="S2" s="2"/>
      <c r="T2" s="2"/>
      <c r="U2" s="2"/>
      <c r="V2" s="2"/>
      <c r="W2" s="2"/>
      <c r="X2" s="2"/>
      <c r="Y2" s="2"/>
      <c r="Z2" s="2"/>
    </row>
    <row r="3" spans="1:26" ht="42" customHeight="1">
      <c r="A3" s="15"/>
      <c r="B3" s="15"/>
      <c r="C3" s="15"/>
      <c r="D3" s="15"/>
      <c r="E3" s="15"/>
      <c r="F3" s="15"/>
      <c r="G3" s="15"/>
      <c r="H3" s="15"/>
      <c r="I3" s="15"/>
      <c r="J3" s="15"/>
      <c r="K3" s="15"/>
      <c r="L3" s="15"/>
      <c r="M3" s="2"/>
      <c r="N3" s="2"/>
      <c r="O3" s="2"/>
      <c r="P3" s="2"/>
      <c r="Q3" s="2"/>
      <c r="R3" s="2"/>
      <c r="S3" s="2"/>
      <c r="T3" s="2"/>
      <c r="U3" s="2"/>
      <c r="V3" s="2"/>
      <c r="W3" s="2"/>
      <c r="X3" s="2"/>
      <c r="Y3" s="2"/>
      <c r="Z3" s="2"/>
    </row>
    <row r="4" spans="1:26">
      <c r="A4" s="2"/>
      <c r="B4" s="2"/>
      <c r="C4" s="2"/>
      <c r="D4" s="2"/>
      <c r="E4" s="2"/>
      <c r="F4" s="2"/>
      <c r="G4" s="2"/>
      <c r="H4" s="2"/>
      <c r="I4" s="2"/>
      <c r="J4" s="2"/>
      <c r="K4" s="2"/>
      <c r="L4" s="2"/>
      <c r="M4" s="2"/>
      <c r="N4" s="2"/>
      <c r="O4" s="2"/>
      <c r="P4" s="2"/>
      <c r="Q4" s="2"/>
      <c r="R4" s="2"/>
      <c r="S4" s="2"/>
      <c r="T4" s="2"/>
      <c r="U4" s="2"/>
      <c r="V4" s="2"/>
      <c r="W4" s="2"/>
      <c r="X4" s="2"/>
      <c r="Y4" s="2"/>
      <c r="Z4" s="2"/>
    </row>
    <row r="5" spans="1:26" ht="30">
      <c r="A5" s="1" t="s">
        <v>292</v>
      </c>
      <c r="B5" s="1" t="s">
        <v>74</v>
      </c>
      <c r="C5" s="1" t="s">
        <v>75</v>
      </c>
      <c r="D5" s="1" t="s">
        <v>18</v>
      </c>
      <c r="E5" s="1" t="s">
        <v>76</v>
      </c>
      <c r="F5" s="1" t="s">
        <v>293</v>
      </c>
      <c r="G5" s="1" t="s">
        <v>78</v>
      </c>
      <c r="H5" s="1" t="s">
        <v>294</v>
      </c>
      <c r="I5" s="1" t="s">
        <v>295</v>
      </c>
      <c r="J5" s="1" t="s">
        <v>296</v>
      </c>
      <c r="K5" s="1" t="s">
        <v>297</v>
      </c>
      <c r="L5" s="1" t="s">
        <v>298</v>
      </c>
      <c r="M5" s="2"/>
      <c r="N5" s="2"/>
      <c r="O5" s="2"/>
      <c r="P5" s="2"/>
      <c r="Q5" s="2"/>
      <c r="R5" s="2"/>
      <c r="S5" s="2"/>
      <c r="T5" s="2"/>
      <c r="U5" s="2"/>
      <c r="V5" s="2"/>
      <c r="W5" s="2"/>
      <c r="X5" s="2"/>
      <c r="Y5" s="2"/>
      <c r="Z5" s="2"/>
    </row>
    <row r="6" spans="1:26">
      <c r="A6" s="4"/>
      <c r="B6" s="3" t="str">
        <f t="shared" ref="B6:B37" si="0">IF(A6="","",TEXT(A6,"dddd"))</f>
        <v/>
      </c>
      <c r="C6" s="5"/>
      <c r="D6" s="5" t="s">
        <v>299</v>
      </c>
      <c r="E6" s="8"/>
      <c r="F6" s="8"/>
      <c r="G6" s="9" t="str">
        <f t="shared" ref="G6:G37" si="1">IF(OR(E6="",F6=""),"",E6*F6)</f>
        <v/>
      </c>
      <c r="H6" s="5"/>
      <c r="I6" s="5"/>
      <c r="J6" s="5"/>
      <c r="K6" s="5"/>
      <c r="L6" s="5"/>
      <c r="M6" s="2"/>
      <c r="N6" s="2"/>
      <c r="O6" s="2"/>
      <c r="P6" s="2"/>
      <c r="Q6" s="2"/>
      <c r="R6" s="2"/>
      <c r="S6" s="2"/>
      <c r="T6" s="2"/>
      <c r="U6" s="2"/>
      <c r="V6" s="2"/>
      <c r="W6" s="2"/>
      <c r="X6" s="2"/>
      <c r="Y6" s="2"/>
      <c r="Z6" s="2"/>
    </row>
    <row r="7" spans="1:26">
      <c r="A7" s="4"/>
      <c r="B7" s="3" t="str">
        <f t="shared" si="0"/>
        <v/>
      </c>
      <c r="C7" s="5"/>
      <c r="D7" s="5" t="s">
        <v>299</v>
      </c>
      <c r="E7" s="8"/>
      <c r="F7" s="8"/>
      <c r="G7" s="9" t="str">
        <f t="shared" si="1"/>
        <v/>
      </c>
      <c r="H7" s="5"/>
      <c r="I7" s="5"/>
      <c r="J7" s="5"/>
      <c r="K7" s="5"/>
      <c r="L7" s="5"/>
      <c r="M7" s="2"/>
      <c r="N7" s="2"/>
      <c r="O7" s="2"/>
      <c r="P7" s="2"/>
      <c r="Q7" s="2"/>
      <c r="R7" s="2"/>
      <c r="S7" s="2"/>
      <c r="T7" s="2"/>
      <c r="U7" s="2"/>
      <c r="V7" s="2"/>
      <c r="W7" s="2"/>
      <c r="X7" s="2"/>
      <c r="Y7" s="2"/>
      <c r="Z7" s="2"/>
    </row>
    <row r="8" spans="1:26">
      <c r="A8" s="4"/>
      <c r="B8" s="3" t="str">
        <f t="shared" si="0"/>
        <v/>
      </c>
      <c r="C8" s="5"/>
      <c r="D8" s="5" t="s">
        <v>299</v>
      </c>
      <c r="E8" s="8"/>
      <c r="F8" s="8"/>
      <c r="G8" s="9" t="str">
        <f t="shared" si="1"/>
        <v/>
      </c>
      <c r="H8" s="5"/>
      <c r="I8" s="5"/>
      <c r="J8" s="5"/>
      <c r="K8" s="5"/>
      <c r="L8" s="5"/>
      <c r="M8" s="2"/>
      <c r="N8" s="2"/>
      <c r="O8" s="2"/>
      <c r="P8" s="2"/>
      <c r="Q8" s="2"/>
      <c r="R8" s="2"/>
      <c r="S8" s="2"/>
      <c r="T8" s="2"/>
      <c r="U8" s="2"/>
      <c r="V8" s="2"/>
      <c r="W8" s="2"/>
      <c r="X8" s="2"/>
      <c r="Y8" s="2"/>
      <c r="Z8" s="2"/>
    </row>
    <row r="9" spans="1:26">
      <c r="A9" s="4"/>
      <c r="B9" s="3" t="str">
        <f t="shared" si="0"/>
        <v/>
      </c>
      <c r="C9" s="5"/>
      <c r="D9" s="5" t="s">
        <v>299</v>
      </c>
      <c r="E9" s="8"/>
      <c r="F9" s="8"/>
      <c r="G9" s="9" t="str">
        <f t="shared" si="1"/>
        <v/>
      </c>
      <c r="H9" s="5"/>
      <c r="I9" s="5"/>
      <c r="J9" s="5"/>
      <c r="K9" s="5"/>
      <c r="L9" s="5"/>
      <c r="M9" s="2"/>
      <c r="N9" s="2"/>
      <c r="O9" s="2"/>
      <c r="P9" s="2"/>
      <c r="Q9" s="2"/>
      <c r="R9" s="2"/>
      <c r="S9" s="2"/>
      <c r="T9" s="2"/>
      <c r="U9" s="2"/>
      <c r="V9" s="2"/>
      <c r="W9" s="2"/>
      <c r="X9" s="2"/>
      <c r="Y9" s="2"/>
      <c r="Z9" s="2"/>
    </row>
    <row r="10" spans="1:26">
      <c r="A10" s="4"/>
      <c r="B10" s="3" t="str">
        <f t="shared" si="0"/>
        <v/>
      </c>
      <c r="C10" s="5"/>
      <c r="D10" s="5" t="s">
        <v>299</v>
      </c>
      <c r="E10" s="8"/>
      <c r="F10" s="8"/>
      <c r="G10" s="9" t="str">
        <f t="shared" si="1"/>
        <v/>
      </c>
      <c r="H10" s="5"/>
      <c r="I10" s="5"/>
      <c r="J10" s="5"/>
      <c r="K10" s="5"/>
      <c r="L10" s="5"/>
      <c r="M10" s="2"/>
      <c r="N10" s="2"/>
      <c r="O10" s="2"/>
      <c r="P10" s="2"/>
      <c r="Q10" s="2"/>
      <c r="R10" s="2"/>
      <c r="S10" s="2"/>
      <c r="T10" s="2"/>
      <c r="U10" s="2"/>
      <c r="V10" s="2"/>
      <c r="W10" s="2"/>
      <c r="X10" s="2"/>
      <c r="Y10" s="2"/>
      <c r="Z10" s="2"/>
    </row>
    <row r="11" spans="1:26">
      <c r="A11" s="4"/>
      <c r="B11" s="3" t="str">
        <f t="shared" si="0"/>
        <v/>
      </c>
      <c r="C11" s="5"/>
      <c r="D11" s="5" t="s">
        <v>299</v>
      </c>
      <c r="E11" s="8"/>
      <c r="F11" s="8"/>
      <c r="G11" s="9" t="str">
        <f t="shared" si="1"/>
        <v/>
      </c>
      <c r="H11" s="5"/>
      <c r="I11" s="5"/>
      <c r="J11" s="5"/>
      <c r="K11" s="5"/>
      <c r="L11" s="5"/>
      <c r="M11" s="2"/>
      <c r="N11" s="2"/>
      <c r="O11" s="2"/>
      <c r="P11" s="2"/>
      <c r="Q11" s="2"/>
      <c r="R11" s="2"/>
      <c r="S11" s="2"/>
      <c r="T11" s="2"/>
      <c r="U11" s="2"/>
      <c r="V11" s="2"/>
      <c r="W11" s="2"/>
      <c r="X11" s="2"/>
      <c r="Y11" s="2"/>
      <c r="Z11" s="2"/>
    </row>
    <row r="12" spans="1:26">
      <c r="A12" s="4"/>
      <c r="B12" s="3" t="str">
        <f t="shared" si="0"/>
        <v/>
      </c>
      <c r="C12" s="5"/>
      <c r="D12" s="5" t="s">
        <v>299</v>
      </c>
      <c r="E12" s="8"/>
      <c r="F12" s="8"/>
      <c r="G12" s="9" t="str">
        <f t="shared" si="1"/>
        <v/>
      </c>
      <c r="H12" s="5"/>
      <c r="I12" s="5"/>
      <c r="J12" s="5"/>
      <c r="K12" s="5"/>
      <c r="L12" s="5"/>
      <c r="M12" s="2"/>
      <c r="N12" s="2"/>
      <c r="O12" s="2"/>
      <c r="P12" s="2"/>
      <c r="Q12" s="2"/>
      <c r="R12" s="2"/>
      <c r="S12" s="2"/>
      <c r="T12" s="2"/>
      <c r="U12" s="2"/>
      <c r="V12" s="2"/>
      <c r="W12" s="2"/>
      <c r="X12" s="2"/>
      <c r="Y12" s="2"/>
      <c r="Z12" s="2"/>
    </row>
    <row r="13" spans="1:26">
      <c r="A13" s="4"/>
      <c r="B13" s="3" t="str">
        <f t="shared" si="0"/>
        <v/>
      </c>
      <c r="C13" s="5"/>
      <c r="D13" s="5" t="s">
        <v>299</v>
      </c>
      <c r="E13" s="8"/>
      <c r="F13" s="8"/>
      <c r="G13" s="9" t="str">
        <f t="shared" si="1"/>
        <v/>
      </c>
      <c r="H13" s="5"/>
      <c r="I13" s="5"/>
      <c r="J13" s="5"/>
      <c r="K13" s="5"/>
      <c r="L13" s="5"/>
      <c r="M13" s="2"/>
      <c r="N13" s="2"/>
      <c r="O13" s="2"/>
      <c r="P13" s="2"/>
      <c r="Q13" s="2"/>
      <c r="R13" s="2"/>
      <c r="S13" s="2"/>
      <c r="T13" s="2"/>
      <c r="U13" s="2"/>
      <c r="V13" s="2"/>
      <c r="W13" s="2"/>
      <c r="X13" s="2"/>
      <c r="Y13" s="2"/>
      <c r="Z13" s="2"/>
    </row>
    <row r="14" spans="1:26">
      <c r="A14" s="4"/>
      <c r="B14" s="3" t="str">
        <f t="shared" si="0"/>
        <v/>
      </c>
      <c r="C14" s="5"/>
      <c r="D14" s="5" t="s">
        <v>299</v>
      </c>
      <c r="E14" s="8"/>
      <c r="F14" s="8"/>
      <c r="G14" s="9" t="str">
        <f t="shared" si="1"/>
        <v/>
      </c>
      <c r="H14" s="5"/>
      <c r="I14" s="5"/>
      <c r="J14" s="5"/>
      <c r="K14" s="5"/>
      <c r="L14" s="5"/>
      <c r="M14" s="2"/>
      <c r="N14" s="2"/>
      <c r="O14" s="2"/>
      <c r="P14" s="2"/>
      <c r="Q14" s="2"/>
      <c r="R14" s="2"/>
      <c r="S14" s="2"/>
      <c r="T14" s="2"/>
      <c r="U14" s="2"/>
      <c r="V14" s="2"/>
      <c r="W14" s="2"/>
      <c r="X14" s="2"/>
      <c r="Y14" s="2"/>
      <c r="Z14" s="2"/>
    </row>
    <row r="15" spans="1:26">
      <c r="A15" s="4"/>
      <c r="B15" s="3" t="str">
        <f t="shared" si="0"/>
        <v/>
      </c>
      <c r="C15" s="5"/>
      <c r="D15" s="5" t="s">
        <v>299</v>
      </c>
      <c r="E15" s="8"/>
      <c r="F15" s="8"/>
      <c r="G15" s="9" t="str">
        <f t="shared" si="1"/>
        <v/>
      </c>
      <c r="H15" s="5"/>
      <c r="I15" s="5"/>
      <c r="J15" s="5"/>
      <c r="K15" s="5"/>
      <c r="L15" s="5"/>
      <c r="M15" s="2"/>
      <c r="N15" s="2"/>
      <c r="O15" s="2"/>
      <c r="P15" s="2"/>
      <c r="Q15" s="2"/>
      <c r="R15" s="2"/>
      <c r="S15" s="2"/>
      <c r="T15" s="2"/>
      <c r="U15" s="2"/>
      <c r="V15" s="2"/>
      <c r="W15" s="2"/>
      <c r="X15" s="2"/>
      <c r="Y15" s="2"/>
      <c r="Z15" s="2"/>
    </row>
    <row r="16" spans="1:26">
      <c r="A16" s="4"/>
      <c r="B16" s="3" t="str">
        <f t="shared" si="0"/>
        <v/>
      </c>
      <c r="C16" s="5"/>
      <c r="D16" s="5" t="s">
        <v>299</v>
      </c>
      <c r="E16" s="8"/>
      <c r="F16" s="8"/>
      <c r="G16" s="9" t="str">
        <f t="shared" si="1"/>
        <v/>
      </c>
      <c r="H16" s="5"/>
      <c r="I16" s="5"/>
      <c r="J16" s="5"/>
      <c r="K16" s="5"/>
      <c r="L16" s="5"/>
      <c r="M16" s="2"/>
      <c r="N16" s="2"/>
      <c r="O16" s="2"/>
      <c r="P16" s="2"/>
      <c r="Q16" s="2"/>
      <c r="R16" s="2"/>
      <c r="S16" s="2"/>
      <c r="T16" s="2"/>
      <c r="U16" s="2"/>
      <c r="V16" s="2"/>
      <c r="W16" s="2"/>
      <c r="X16" s="2"/>
      <c r="Y16" s="2"/>
      <c r="Z16" s="2"/>
    </row>
    <row r="17" spans="1:26">
      <c r="A17" s="4"/>
      <c r="B17" s="3" t="str">
        <f t="shared" si="0"/>
        <v/>
      </c>
      <c r="C17" s="5"/>
      <c r="D17" s="5" t="s">
        <v>299</v>
      </c>
      <c r="E17" s="8"/>
      <c r="F17" s="8"/>
      <c r="G17" s="9" t="str">
        <f t="shared" si="1"/>
        <v/>
      </c>
      <c r="H17" s="5"/>
      <c r="I17" s="5"/>
      <c r="J17" s="5"/>
      <c r="K17" s="5"/>
      <c r="L17" s="5"/>
      <c r="M17" s="2"/>
      <c r="N17" s="2"/>
      <c r="O17" s="2"/>
      <c r="P17" s="2"/>
      <c r="Q17" s="2"/>
      <c r="R17" s="2"/>
      <c r="S17" s="2"/>
      <c r="T17" s="2"/>
      <c r="U17" s="2"/>
      <c r="V17" s="2"/>
      <c r="W17" s="2"/>
      <c r="X17" s="2"/>
      <c r="Y17" s="2"/>
      <c r="Z17" s="2"/>
    </row>
    <row r="18" spans="1:26">
      <c r="A18" s="4"/>
      <c r="B18" s="3" t="str">
        <f t="shared" si="0"/>
        <v/>
      </c>
      <c r="C18" s="5"/>
      <c r="D18" s="5" t="s">
        <v>299</v>
      </c>
      <c r="E18" s="8"/>
      <c r="F18" s="8"/>
      <c r="G18" s="9" t="str">
        <f t="shared" si="1"/>
        <v/>
      </c>
      <c r="H18" s="5"/>
      <c r="I18" s="5"/>
      <c r="J18" s="5"/>
      <c r="K18" s="5"/>
      <c r="L18" s="5"/>
      <c r="M18" s="2"/>
      <c r="N18" s="2"/>
      <c r="O18" s="2"/>
      <c r="P18" s="2"/>
      <c r="Q18" s="2"/>
      <c r="R18" s="2"/>
      <c r="S18" s="2"/>
      <c r="T18" s="2"/>
      <c r="U18" s="2"/>
      <c r="V18" s="2"/>
      <c r="W18" s="2"/>
      <c r="X18" s="2"/>
      <c r="Y18" s="2"/>
      <c r="Z18" s="2"/>
    </row>
    <row r="19" spans="1:26">
      <c r="A19" s="4"/>
      <c r="B19" s="3" t="str">
        <f t="shared" si="0"/>
        <v/>
      </c>
      <c r="C19" s="5"/>
      <c r="D19" s="5" t="s">
        <v>299</v>
      </c>
      <c r="E19" s="8"/>
      <c r="F19" s="8"/>
      <c r="G19" s="9" t="str">
        <f t="shared" si="1"/>
        <v/>
      </c>
      <c r="H19" s="5"/>
      <c r="I19" s="5"/>
      <c r="J19" s="5"/>
      <c r="K19" s="5"/>
      <c r="L19" s="5"/>
      <c r="M19" s="2"/>
      <c r="N19" s="2"/>
      <c r="O19" s="2"/>
      <c r="P19" s="2"/>
      <c r="Q19" s="2"/>
      <c r="R19" s="2"/>
      <c r="S19" s="2"/>
      <c r="T19" s="2"/>
      <c r="U19" s="2"/>
      <c r="V19" s="2"/>
      <c r="W19" s="2"/>
      <c r="X19" s="2"/>
      <c r="Y19" s="2"/>
      <c r="Z19" s="2"/>
    </row>
    <row r="20" spans="1:26">
      <c r="A20" s="4"/>
      <c r="B20" s="3" t="str">
        <f t="shared" si="0"/>
        <v/>
      </c>
      <c r="C20" s="5"/>
      <c r="D20" s="5" t="s">
        <v>299</v>
      </c>
      <c r="E20" s="8"/>
      <c r="F20" s="8"/>
      <c r="G20" s="9" t="str">
        <f t="shared" si="1"/>
        <v/>
      </c>
      <c r="H20" s="5"/>
      <c r="I20" s="5"/>
      <c r="J20" s="5"/>
      <c r="K20" s="5"/>
      <c r="L20" s="5"/>
      <c r="M20" s="2"/>
      <c r="N20" s="2"/>
      <c r="O20" s="2"/>
      <c r="P20" s="2"/>
      <c r="Q20" s="2"/>
      <c r="R20" s="2"/>
      <c r="S20" s="2"/>
      <c r="T20" s="2"/>
      <c r="U20" s="2"/>
      <c r="V20" s="2"/>
      <c r="W20" s="2"/>
      <c r="X20" s="2"/>
      <c r="Y20" s="2"/>
      <c r="Z20" s="2"/>
    </row>
    <row r="21" spans="1:26">
      <c r="A21" s="4"/>
      <c r="B21" s="3" t="str">
        <f t="shared" si="0"/>
        <v/>
      </c>
      <c r="C21" s="5"/>
      <c r="D21" s="5" t="s">
        <v>299</v>
      </c>
      <c r="E21" s="8"/>
      <c r="F21" s="8"/>
      <c r="G21" s="9" t="str">
        <f t="shared" si="1"/>
        <v/>
      </c>
      <c r="H21" s="5"/>
      <c r="I21" s="5"/>
      <c r="J21" s="5"/>
      <c r="K21" s="5"/>
      <c r="L21" s="5"/>
      <c r="M21" s="2"/>
      <c r="N21" s="2"/>
      <c r="O21" s="2"/>
      <c r="P21" s="2"/>
      <c r="Q21" s="2"/>
      <c r="R21" s="2"/>
      <c r="S21" s="2"/>
      <c r="T21" s="2"/>
      <c r="U21" s="2"/>
      <c r="V21" s="2"/>
      <c r="W21" s="2"/>
      <c r="X21" s="2"/>
      <c r="Y21" s="2"/>
      <c r="Z21" s="2"/>
    </row>
    <row r="22" spans="1:26">
      <c r="A22" s="4"/>
      <c r="B22" s="3" t="str">
        <f t="shared" si="0"/>
        <v/>
      </c>
      <c r="C22" s="5"/>
      <c r="D22" s="5" t="s">
        <v>299</v>
      </c>
      <c r="E22" s="8"/>
      <c r="F22" s="8"/>
      <c r="G22" s="9" t="str">
        <f t="shared" si="1"/>
        <v/>
      </c>
      <c r="H22" s="5"/>
      <c r="I22" s="5"/>
      <c r="J22" s="5"/>
      <c r="K22" s="5"/>
      <c r="L22" s="5"/>
      <c r="M22" s="2"/>
      <c r="N22" s="2"/>
      <c r="O22" s="2"/>
      <c r="P22" s="2"/>
      <c r="Q22" s="2"/>
      <c r="R22" s="2"/>
      <c r="S22" s="2"/>
      <c r="T22" s="2"/>
      <c r="U22" s="2"/>
      <c r="V22" s="2"/>
      <c r="W22" s="2"/>
      <c r="X22" s="2"/>
      <c r="Y22" s="2"/>
      <c r="Z22" s="2"/>
    </row>
    <row r="23" spans="1:26">
      <c r="A23" s="4"/>
      <c r="B23" s="3" t="str">
        <f t="shared" si="0"/>
        <v/>
      </c>
      <c r="C23" s="5"/>
      <c r="D23" s="5" t="s">
        <v>299</v>
      </c>
      <c r="E23" s="8"/>
      <c r="F23" s="8"/>
      <c r="G23" s="9" t="str">
        <f t="shared" si="1"/>
        <v/>
      </c>
      <c r="H23" s="5"/>
      <c r="I23" s="5"/>
      <c r="J23" s="5"/>
      <c r="K23" s="5"/>
      <c r="L23" s="5"/>
      <c r="M23" s="2"/>
      <c r="N23" s="2"/>
      <c r="O23" s="2"/>
      <c r="P23" s="2"/>
      <c r="Q23" s="2"/>
      <c r="R23" s="2"/>
      <c r="S23" s="2"/>
      <c r="T23" s="2"/>
      <c r="U23" s="2"/>
      <c r="V23" s="2"/>
      <c r="W23" s="2"/>
      <c r="X23" s="2"/>
      <c r="Y23" s="2"/>
      <c r="Z23" s="2"/>
    </row>
    <row r="24" spans="1:26">
      <c r="A24" s="4"/>
      <c r="B24" s="3" t="str">
        <f t="shared" si="0"/>
        <v/>
      </c>
      <c r="C24" s="5"/>
      <c r="D24" s="5" t="s">
        <v>299</v>
      </c>
      <c r="E24" s="8"/>
      <c r="F24" s="8"/>
      <c r="G24" s="9" t="str">
        <f t="shared" si="1"/>
        <v/>
      </c>
      <c r="H24" s="5"/>
      <c r="I24" s="5"/>
      <c r="J24" s="5"/>
      <c r="K24" s="5"/>
      <c r="L24" s="5"/>
      <c r="M24" s="2"/>
      <c r="N24" s="2"/>
      <c r="O24" s="2"/>
      <c r="P24" s="2"/>
      <c r="Q24" s="2"/>
      <c r="R24" s="2"/>
      <c r="S24" s="2"/>
      <c r="T24" s="2"/>
      <c r="U24" s="2"/>
      <c r="V24" s="2"/>
      <c r="W24" s="2"/>
      <c r="X24" s="2"/>
      <c r="Y24" s="2"/>
      <c r="Z24" s="2"/>
    </row>
    <row r="25" spans="1:26">
      <c r="A25" s="4"/>
      <c r="B25" s="3" t="str">
        <f t="shared" si="0"/>
        <v/>
      </c>
      <c r="C25" s="5"/>
      <c r="D25" s="5" t="s">
        <v>299</v>
      </c>
      <c r="E25" s="8"/>
      <c r="F25" s="8"/>
      <c r="G25" s="9" t="str">
        <f t="shared" si="1"/>
        <v/>
      </c>
      <c r="H25" s="5"/>
      <c r="I25" s="5"/>
      <c r="J25" s="5"/>
      <c r="K25" s="5"/>
      <c r="L25" s="5"/>
      <c r="M25" s="2"/>
      <c r="N25" s="2"/>
      <c r="O25" s="2"/>
      <c r="P25" s="2"/>
      <c r="Q25" s="2"/>
      <c r="R25" s="2"/>
      <c r="S25" s="2"/>
      <c r="T25" s="2"/>
      <c r="U25" s="2"/>
      <c r="V25" s="2"/>
      <c r="W25" s="2"/>
      <c r="X25" s="2"/>
      <c r="Y25" s="2"/>
      <c r="Z25" s="2"/>
    </row>
    <row r="26" spans="1:26">
      <c r="A26" s="4"/>
      <c r="B26" s="3" t="str">
        <f t="shared" si="0"/>
        <v/>
      </c>
      <c r="C26" s="5"/>
      <c r="D26" s="5" t="s">
        <v>299</v>
      </c>
      <c r="E26" s="8"/>
      <c r="F26" s="8"/>
      <c r="G26" s="9" t="str">
        <f t="shared" si="1"/>
        <v/>
      </c>
      <c r="H26" s="5"/>
      <c r="I26" s="5"/>
      <c r="J26" s="5"/>
      <c r="K26" s="5"/>
      <c r="L26" s="5"/>
      <c r="M26" s="2"/>
      <c r="N26" s="2"/>
      <c r="O26" s="2"/>
      <c r="P26" s="2"/>
      <c r="Q26" s="2"/>
      <c r="R26" s="2"/>
      <c r="S26" s="2"/>
      <c r="T26" s="2"/>
      <c r="U26" s="2"/>
      <c r="V26" s="2"/>
      <c r="W26" s="2"/>
      <c r="X26" s="2"/>
      <c r="Y26" s="2"/>
      <c r="Z26" s="2"/>
    </row>
    <row r="27" spans="1:26">
      <c r="A27" s="4"/>
      <c r="B27" s="3" t="str">
        <f t="shared" si="0"/>
        <v/>
      </c>
      <c r="C27" s="5"/>
      <c r="D27" s="5" t="s">
        <v>299</v>
      </c>
      <c r="E27" s="8"/>
      <c r="F27" s="8"/>
      <c r="G27" s="9" t="str">
        <f t="shared" si="1"/>
        <v/>
      </c>
      <c r="H27" s="5"/>
      <c r="I27" s="5"/>
      <c r="J27" s="5"/>
      <c r="K27" s="5"/>
      <c r="L27" s="5"/>
      <c r="M27" s="2"/>
      <c r="N27" s="2"/>
      <c r="O27" s="2"/>
      <c r="P27" s="2"/>
      <c r="Q27" s="2"/>
      <c r="R27" s="2"/>
      <c r="S27" s="2"/>
      <c r="T27" s="2"/>
      <c r="U27" s="2"/>
      <c r="V27" s="2"/>
      <c r="W27" s="2"/>
      <c r="X27" s="2"/>
      <c r="Y27" s="2"/>
      <c r="Z27" s="2"/>
    </row>
    <row r="28" spans="1:26">
      <c r="A28" s="4"/>
      <c r="B28" s="3" t="str">
        <f t="shared" si="0"/>
        <v/>
      </c>
      <c r="C28" s="5"/>
      <c r="D28" s="5" t="s">
        <v>299</v>
      </c>
      <c r="E28" s="8"/>
      <c r="F28" s="8"/>
      <c r="G28" s="9" t="str">
        <f t="shared" si="1"/>
        <v/>
      </c>
      <c r="H28" s="5"/>
      <c r="I28" s="5"/>
      <c r="J28" s="5"/>
      <c r="K28" s="5"/>
      <c r="L28" s="5"/>
      <c r="M28" s="2"/>
      <c r="N28" s="2"/>
      <c r="O28" s="2"/>
      <c r="P28" s="2"/>
      <c r="Q28" s="2"/>
      <c r="R28" s="2"/>
      <c r="S28" s="2"/>
      <c r="T28" s="2"/>
      <c r="U28" s="2"/>
      <c r="V28" s="2"/>
      <c r="W28" s="2"/>
      <c r="X28" s="2"/>
      <c r="Y28" s="2"/>
      <c r="Z28" s="2"/>
    </row>
    <row r="29" spans="1:26">
      <c r="A29" s="4"/>
      <c r="B29" s="3" t="str">
        <f t="shared" si="0"/>
        <v/>
      </c>
      <c r="C29" s="5"/>
      <c r="D29" s="5" t="s">
        <v>299</v>
      </c>
      <c r="E29" s="8"/>
      <c r="F29" s="8"/>
      <c r="G29" s="9" t="str">
        <f t="shared" si="1"/>
        <v/>
      </c>
      <c r="H29" s="5"/>
      <c r="I29" s="5"/>
      <c r="J29" s="5"/>
      <c r="K29" s="5"/>
      <c r="L29" s="5"/>
      <c r="M29" s="2"/>
      <c r="N29" s="2"/>
      <c r="O29" s="2"/>
      <c r="P29" s="2"/>
      <c r="Q29" s="2"/>
      <c r="R29" s="2"/>
      <c r="S29" s="2"/>
      <c r="T29" s="2"/>
      <c r="U29" s="2"/>
      <c r="V29" s="2"/>
      <c r="W29" s="2"/>
      <c r="X29" s="2"/>
      <c r="Y29" s="2"/>
      <c r="Z29" s="2"/>
    </row>
    <row r="30" spans="1:26">
      <c r="A30" s="4"/>
      <c r="B30" s="3" t="str">
        <f t="shared" si="0"/>
        <v/>
      </c>
      <c r="C30" s="5"/>
      <c r="D30" s="5" t="s">
        <v>299</v>
      </c>
      <c r="E30" s="8"/>
      <c r="F30" s="8"/>
      <c r="G30" s="9" t="str">
        <f t="shared" si="1"/>
        <v/>
      </c>
      <c r="H30" s="5"/>
      <c r="I30" s="5"/>
      <c r="J30" s="5"/>
      <c r="K30" s="5"/>
      <c r="L30" s="5"/>
      <c r="M30" s="2"/>
      <c r="N30" s="2"/>
      <c r="O30" s="2"/>
      <c r="P30" s="2"/>
      <c r="Q30" s="2"/>
      <c r="R30" s="2"/>
      <c r="S30" s="2"/>
      <c r="T30" s="2"/>
      <c r="U30" s="2"/>
      <c r="V30" s="2"/>
      <c r="W30" s="2"/>
      <c r="X30" s="2"/>
      <c r="Y30" s="2"/>
      <c r="Z30" s="2"/>
    </row>
    <row r="31" spans="1:26">
      <c r="A31" s="4"/>
      <c r="B31" s="3" t="str">
        <f t="shared" si="0"/>
        <v/>
      </c>
      <c r="C31" s="5"/>
      <c r="D31" s="5" t="s">
        <v>299</v>
      </c>
      <c r="E31" s="8"/>
      <c r="F31" s="8"/>
      <c r="G31" s="9" t="str">
        <f t="shared" si="1"/>
        <v/>
      </c>
      <c r="H31" s="5"/>
      <c r="I31" s="5"/>
      <c r="J31" s="5"/>
      <c r="K31" s="5"/>
      <c r="L31" s="5"/>
      <c r="M31" s="2"/>
      <c r="N31" s="2"/>
      <c r="O31" s="2"/>
      <c r="P31" s="2"/>
      <c r="Q31" s="2"/>
      <c r="R31" s="2"/>
      <c r="S31" s="2"/>
      <c r="T31" s="2"/>
      <c r="U31" s="2"/>
      <c r="V31" s="2"/>
      <c r="W31" s="2"/>
      <c r="X31" s="2"/>
      <c r="Y31" s="2"/>
      <c r="Z31" s="2"/>
    </row>
    <row r="32" spans="1:26">
      <c r="A32" s="4"/>
      <c r="B32" s="3" t="str">
        <f t="shared" si="0"/>
        <v/>
      </c>
      <c r="C32" s="5"/>
      <c r="D32" s="5" t="s">
        <v>299</v>
      </c>
      <c r="E32" s="8"/>
      <c r="F32" s="8"/>
      <c r="G32" s="9" t="str">
        <f t="shared" si="1"/>
        <v/>
      </c>
      <c r="H32" s="5"/>
      <c r="I32" s="5"/>
      <c r="J32" s="5"/>
      <c r="K32" s="5"/>
      <c r="L32" s="5"/>
      <c r="M32" s="2"/>
      <c r="N32" s="2"/>
      <c r="O32" s="2"/>
      <c r="P32" s="2"/>
      <c r="Q32" s="2"/>
      <c r="R32" s="2"/>
      <c r="S32" s="2"/>
      <c r="T32" s="2"/>
      <c r="U32" s="2"/>
      <c r="V32" s="2"/>
      <c r="W32" s="2"/>
      <c r="X32" s="2"/>
      <c r="Y32" s="2"/>
      <c r="Z32" s="2"/>
    </row>
    <row r="33" spans="1:26">
      <c r="A33" s="4"/>
      <c r="B33" s="3" t="str">
        <f t="shared" si="0"/>
        <v/>
      </c>
      <c r="C33" s="5"/>
      <c r="D33" s="5" t="s">
        <v>299</v>
      </c>
      <c r="E33" s="8"/>
      <c r="F33" s="8"/>
      <c r="G33" s="9" t="str">
        <f t="shared" si="1"/>
        <v/>
      </c>
      <c r="H33" s="5"/>
      <c r="I33" s="5"/>
      <c r="J33" s="5"/>
      <c r="K33" s="5"/>
      <c r="L33" s="5"/>
      <c r="M33" s="2"/>
      <c r="N33" s="2"/>
      <c r="O33" s="2"/>
      <c r="P33" s="2"/>
      <c r="Q33" s="2"/>
      <c r="R33" s="2"/>
      <c r="S33" s="2"/>
      <c r="T33" s="2"/>
      <c r="U33" s="2"/>
      <c r="V33" s="2"/>
      <c r="W33" s="2"/>
      <c r="X33" s="2"/>
      <c r="Y33" s="2"/>
      <c r="Z33" s="2"/>
    </row>
    <row r="34" spans="1:26">
      <c r="A34" s="4"/>
      <c r="B34" s="3" t="str">
        <f t="shared" si="0"/>
        <v/>
      </c>
      <c r="C34" s="5"/>
      <c r="D34" s="5" t="s">
        <v>299</v>
      </c>
      <c r="E34" s="8"/>
      <c r="F34" s="8"/>
      <c r="G34" s="9" t="str">
        <f t="shared" si="1"/>
        <v/>
      </c>
      <c r="H34" s="5"/>
      <c r="I34" s="5"/>
      <c r="J34" s="5"/>
      <c r="K34" s="5"/>
      <c r="L34" s="5"/>
      <c r="M34" s="2"/>
      <c r="N34" s="2"/>
      <c r="O34" s="2"/>
      <c r="P34" s="2"/>
      <c r="Q34" s="2"/>
      <c r="R34" s="2"/>
      <c r="S34" s="2"/>
      <c r="T34" s="2"/>
      <c r="U34" s="2"/>
      <c r="V34" s="2"/>
      <c r="W34" s="2"/>
      <c r="X34" s="2"/>
      <c r="Y34" s="2"/>
      <c r="Z34" s="2"/>
    </row>
    <row r="35" spans="1:26">
      <c r="A35" s="4"/>
      <c r="B35" s="3" t="str">
        <f t="shared" si="0"/>
        <v/>
      </c>
      <c r="C35" s="5"/>
      <c r="D35" s="5" t="s">
        <v>299</v>
      </c>
      <c r="E35" s="8"/>
      <c r="F35" s="8"/>
      <c r="G35" s="9" t="str">
        <f t="shared" si="1"/>
        <v/>
      </c>
      <c r="H35" s="5"/>
      <c r="I35" s="5"/>
      <c r="J35" s="5"/>
      <c r="K35" s="5"/>
      <c r="L35" s="5"/>
      <c r="M35" s="2"/>
      <c r="N35" s="2"/>
      <c r="O35" s="2"/>
      <c r="P35" s="2"/>
      <c r="Q35" s="2"/>
      <c r="R35" s="2"/>
      <c r="S35" s="2"/>
      <c r="T35" s="2"/>
      <c r="U35" s="2"/>
      <c r="V35" s="2"/>
      <c r="W35" s="2"/>
      <c r="X35" s="2"/>
      <c r="Y35" s="2"/>
      <c r="Z35" s="2"/>
    </row>
    <row r="36" spans="1:26">
      <c r="A36" s="4"/>
      <c r="B36" s="3" t="str">
        <f t="shared" si="0"/>
        <v/>
      </c>
      <c r="C36" s="5"/>
      <c r="D36" s="5" t="s">
        <v>299</v>
      </c>
      <c r="E36" s="8"/>
      <c r="F36" s="8"/>
      <c r="G36" s="9" t="str">
        <f t="shared" si="1"/>
        <v/>
      </c>
      <c r="H36" s="5"/>
      <c r="I36" s="5"/>
      <c r="J36" s="5"/>
      <c r="K36" s="5"/>
      <c r="L36" s="5"/>
      <c r="M36" s="2"/>
      <c r="N36" s="2"/>
      <c r="O36" s="2"/>
      <c r="P36" s="2"/>
      <c r="Q36" s="2"/>
      <c r="R36" s="2"/>
      <c r="S36" s="2"/>
      <c r="T36" s="2"/>
      <c r="U36" s="2"/>
      <c r="V36" s="2"/>
      <c r="W36" s="2"/>
      <c r="X36" s="2"/>
      <c r="Y36" s="2"/>
      <c r="Z36" s="2"/>
    </row>
    <row r="37" spans="1:26">
      <c r="A37" s="4"/>
      <c r="B37" s="3" t="str">
        <f t="shared" si="0"/>
        <v/>
      </c>
      <c r="C37" s="5"/>
      <c r="D37" s="5" t="s">
        <v>299</v>
      </c>
      <c r="E37" s="8"/>
      <c r="F37" s="8"/>
      <c r="G37" s="9" t="str">
        <f t="shared" si="1"/>
        <v/>
      </c>
      <c r="H37" s="5"/>
      <c r="I37" s="5"/>
      <c r="J37" s="5"/>
      <c r="K37" s="5"/>
      <c r="L37" s="5"/>
      <c r="M37" s="2"/>
      <c r="N37" s="2"/>
      <c r="O37" s="2"/>
      <c r="P37" s="2"/>
      <c r="Q37" s="2"/>
      <c r="R37" s="2"/>
      <c r="S37" s="2"/>
      <c r="T37" s="2"/>
      <c r="U37" s="2"/>
      <c r="V37" s="2"/>
      <c r="W37" s="2"/>
      <c r="X37" s="2"/>
      <c r="Y37" s="2"/>
      <c r="Z37" s="2"/>
    </row>
    <row r="38" spans="1:26">
      <c r="A38" s="4"/>
      <c r="B38" s="3" t="str">
        <f t="shared" ref="B38:B69" si="2">IF(A38="","",TEXT(A38,"dddd"))</f>
        <v/>
      </c>
      <c r="C38" s="5"/>
      <c r="D38" s="5" t="s">
        <v>299</v>
      </c>
      <c r="E38" s="8"/>
      <c r="F38" s="8"/>
      <c r="G38" s="9" t="str">
        <f t="shared" ref="G38:G69" si="3">IF(OR(E38="",F38=""),"",E38*F38)</f>
        <v/>
      </c>
      <c r="H38" s="5"/>
      <c r="I38" s="5"/>
      <c r="J38" s="5"/>
      <c r="K38" s="5"/>
      <c r="L38" s="5"/>
      <c r="M38" s="2"/>
      <c r="N38" s="2"/>
      <c r="O38" s="2"/>
      <c r="P38" s="2"/>
      <c r="Q38" s="2"/>
      <c r="R38" s="2"/>
      <c r="S38" s="2"/>
      <c r="T38" s="2"/>
      <c r="U38" s="2"/>
      <c r="V38" s="2"/>
      <c r="W38" s="2"/>
      <c r="X38" s="2"/>
      <c r="Y38" s="2"/>
      <c r="Z38" s="2"/>
    </row>
    <row r="39" spans="1:26">
      <c r="A39" s="4"/>
      <c r="B39" s="3" t="str">
        <f t="shared" si="2"/>
        <v/>
      </c>
      <c r="C39" s="5"/>
      <c r="D39" s="5" t="s">
        <v>299</v>
      </c>
      <c r="E39" s="8"/>
      <c r="F39" s="8"/>
      <c r="G39" s="9" t="str">
        <f t="shared" si="3"/>
        <v/>
      </c>
      <c r="H39" s="5"/>
      <c r="I39" s="5"/>
      <c r="J39" s="5"/>
      <c r="K39" s="5"/>
      <c r="L39" s="5"/>
      <c r="M39" s="2"/>
      <c r="N39" s="2"/>
      <c r="O39" s="2"/>
      <c r="P39" s="2"/>
      <c r="Q39" s="2"/>
      <c r="R39" s="2"/>
      <c r="S39" s="2"/>
      <c r="T39" s="2"/>
      <c r="U39" s="2"/>
      <c r="V39" s="2"/>
      <c r="W39" s="2"/>
      <c r="X39" s="2"/>
      <c r="Y39" s="2"/>
      <c r="Z39" s="2"/>
    </row>
    <row r="40" spans="1:26">
      <c r="A40" s="4"/>
      <c r="B40" s="3" t="str">
        <f t="shared" si="2"/>
        <v/>
      </c>
      <c r="C40" s="5"/>
      <c r="D40" s="5" t="s">
        <v>299</v>
      </c>
      <c r="E40" s="8"/>
      <c r="F40" s="8"/>
      <c r="G40" s="9" t="str">
        <f t="shared" si="3"/>
        <v/>
      </c>
      <c r="H40" s="5"/>
      <c r="I40" s="5"/>
      <c r="J40" s="5"/>
      <c r="K40" s="5"/>
      <c r="L40" s="5"/>
      <c r="M40" s="2"/>
      <c r="N40" s="2"/>
      <c r="O40" s="2"/>
      <c r="P40" s="2"/>
      <c r="Q40" s="2"/>
      <c r="R40" s="2"/>
      <c r="S40" s="2"/>
      <c r="T40" s="2"/>
      <c r="U40" s="2"/>
      <c r="V40" s="2"/>
      <c r="W40" s="2"/>
      <c r="X40" s="2"/>
      <c r="Y40" s="2"/>
      <c r="Z40" s="2"/>
    </row>
    <row r="41" spans="1:26">
      <c r="A41" s="4"/>
      <c r="B41" s="3" t="str">
        <f t="shared" si="2"/>
        <v/>
      </c>
      <c r="C41" s="5"/>
      <c r="D41" s="5" t="s">
        <v>299</v>
      </c>
      <c r="E41" s="8"/>
      <c r="F41" s="8"/>
      <c r="G41" s="9" t="str">
        <f t="shared" si="3"/>
        <v/>
      </c>
      <c r="H41" s="5"/>
      <c r="I41" s="5"/>
      <c r="J41" s="5"/>
      <c r="K41" s="5"/>
      <c r="L41" s="5"/>
      <c r="M41" s="2"/>
      <c r="N41" s="2"/>
      <c r="O41" s="2"/>
      <c r="P41" s="2"/>
      <c r="Q41" s="2"/>
      <c r="R41" s="2"/>
      <c r="S41" s="2"/>
      <c r="T41" s="2"/>
      <c r="U41" s="2"/>
      <c r="V41" s="2"/>
      <c r="W41" s="2"/>
      <c r="X41" s="2"/>
      <c r="Y41" s="2"/>
      <c r="Z41" s="2"/>
    </row>
    <row r="42" spans="1:26">
      <c r="A42" s="4"/>
      <c r="B42" s="3" t="str">
        <f t="shared" si="2"/>
        <v/>
      </c>
      <c r="C42" s="5"/>
      <c r="D42" s="5" t="s">
        <v>299</v>
      </c>
      <c r="E42" s="8"/>
      <c r="F42" s="8"/>
      <c r="G42" s="9" t="str">
        <f t="shared" si="3"/>
        <v/>
      </c>
      <c r="H42" s="5"/>
      <c r="I42" s="5"/>
      <c r="J42" s="5"/>
      <c r="K42" s="5"/>
      <c r="L42" s="5"/>
      <c r="M42" s="2"/>
      <c r="N42" s="2"/>
      <c r="O42" s="2"/>
      <c r="P42" s="2"/>
      <c r="Q42" s="2"/>
      <c r="R42" s="2"/>
      <c r="S42" s="2"/>
      <c r="T42" s="2"/>
      <c r="U42" s="2"/>
      <c r="V42" s="2"/>
      <c r="W42" s="2"/>
      <c r="X42" s="2"/>
      <c r="Y42" s="2"/>
      <c r="Z42" s="2"/>
    </row>
    <row r="43" spans="1:26">
      <c r="A43" s="4"/>
      <c r="B43" s="3" t="str">
        <f t="shared" si="2"/>
        <v/>
      </c>
      <c r="C43" s="5"/>
      <c r="D43" s="5" t="s">
        <v>299</v>
      </c>
      <c r="E43" s="8"/>
      <c r="F43" s="8"/>
      <c r="G43" s="9" t="str">
        <f t="shared" si="3"/>
        <v/>
      </c>
      <c r="H43" s="5"/>
      <c r="I43" s="5"/>
      <c r="J43" s="5"/>
      <c r="K43" s="5"/>
      <c r="L43" s="5"/>
      <c r="M43" s="2"/>
      <c r="N43" s="2"/>
      <c r="O43" s="2"/>
      <c r="P43" s="2"/>
      <c r="Q43" s="2"/>
      <c r="R43" s="2"/>
      <c r="S43" s="2"/>
      <c r="T43" s="2"/>
      <c r="U43" s="2"/>
      <c r="V43" s="2"/>
      <c r="W43" s="2"/>
      <c r="X43" s="2"/>
      <c r="Y43" s="2"/>
      <c r="Z43" s="2"/>
    </row>
    <row r="44" spans="1:26">
      <c r="A44" s="4"/>
      <c r="B44" s="3" t="str">
        <f t="shared" si="2"/>
        <v/>
      </c>
      <c r="C44" s="5"/>
      <c r="D44" s="5" t="s">
        <v>299</v>
      </c>
      <c r="E44" s="8"/>
      <c r="F44" s="8"/>
      <c r="G44" s="9" t="str">
        <f t="shared" si="3"/>
        <v/>
      </c>
      <c r="H44" s="5"/>
      <c r="I44" s="5"/>
      <c r="J44" s="5"/>
      <c r="K44" s="5"/>
      <c r="L44" s="5"/>
      <c r="M44" s="2"/>
      <c r="N44" s="2"/>
      <c r="O44" s="2"/>
      <c r="P44" s="2"/>
      <c r="Q44" s="2"/>
      <c r="R44" s="2"/>
      <c r="S44" s="2"/>
      <c r="T44" s="2"/>
      <c r="U44" s="2"/>
      <c r="V44" s="2"/>
      <c r="W44" s="2"/>
      <c r="X44" s="2"/>
      <c r="Y44" s="2"/>
      <c r="Z44" s="2"/>
    </row>
    <row r="45" spans="1:26">
      <c r="A45" s="4"/>
      <c r="B45" s="3" t="str">
        <f t="shared" si="2"/>
        <v/>
      </c>
      <c r="C45" s="5"/>
      <c r="D45" s="5" t="s">
        <v>299</v>
      </c>
      <c r="E45" s="8"/>
      <c r="F45" s="8"/>
      <c r="G45" s="9" t="str">
        <f t="shared" si="3"/>
        <v/>
      </c>
      <c r="H45" s="5"/>
      <c r="I45" s="5"/>
      <c r="J45" s="5"/>
      <c r="K45" s="5"/>
      <c r="L45" s="5"/>
      <c r="M45" s="2"/>
      <c r="N45" s="2"/>
      <c r="O45" s="2"/>
      <c r="P45" s="2"/>
      <c r="Q45" s="2"/>
      <c r="R45" s="2"/>
      <c r="S45" s="2"/>
      <c r="T45" s="2"/>
      <c r="U45" s="2"/>
      <c r="V45" s="2"/>
      <c r="W45" s="2"/>
      <c r="X45" s="2"/>
      <c r="Y45" s="2"/>
      <c r="Z45" s="2"/>
    </row>
    <row r="46" spans="1:26">
      <c r="A46" s="4"/>
      <c r="B46" s="3" t="str">
        <f t="shared" si="2"/>
        <v/>
      </c>
      <c r="C46" s="5"/>
      <c r="D46" s="5" t="s">
        <v>299</v>
      </c>
      <c r="E46" s="8"/>
      <c r="F46" s="8"/>
      <c r="G46" s="9" t="str">
        <f t="shared" si="3"/>
        <v/>
      </c>
      <c r="H46" s="5"/>
      <c r="I46" s="5"/>
      <c r="J46" s="5"/>
      <c r="K46" s="5"/>
      <c r="L46" s="5"/>
      <c r="M46" s="2"/>
      <c r="N46" s="2"/>
      <c r="O46" s="2"/>
      <c r="P46" s="2"/>
      <c r="Q46" s="2"/>
      <c r="R46" s="2"/>
      <c r="S46" s="2"/>
      <c r="T46" s="2"/>
      <c r="U46" s="2"/>
      <c r="V46" s="2"/>
      <c r="W46" s="2"/>
      <c r="X46" s="2"/>
      <c r="Y46" s="2"/>
      <c r="Z46" s="2"/>
    </row>
    <row r="47" spans="1:26">
      <c r="A47" s="4"/>
      <c r="B47" s="3" t="str">
        <f t="shared" si="2"/>
        <v/>
      </c>
      <c r="C47" s="5"/>
      <c r="D47" s="5" t="s">
        <v>299</v>
      </c>
      <c r="E47" s="8"/>
      <c r="F47" s="8"/>
      <c r="G47" s="9" t="str">
        <f t="shared" si="3"/>
        <v/>
      </c>
      <c r="H47" s="5"/>
      <c r="I47" s="5"/>
      <c r="J47" s="5"/>
      <c r="K47" s="5"/>
      <c r="L47" s="5"/>
      <c r="M47" s="2"/>
      <c r="N47" s="2"/>
      <c r="O47" s="2"/>
      <c r="P47" s="2"/>
      <c r="Q47" s="2"/>
      <c r="R47" s="2"/>
      <c r="S47" s="2"/>
      <c r="T47" s="2"/>
      <c r="U47" s="2"/>
      <c r="V47" s="2"/>
      <c r="W47" s="2"/>
      <c r="X47" s="2"/>
      <c r="Y47" s="2"/>
      <c r="Z47" s="2"/>
    </row>
    <row r="48" spans="1:26">
      <c r="A48" s="4"/>
      <c r="B48" s="3" t="str">
        <f t="shared" si="2"/>
        <v/>
      </c>
      <c r="C48" s="5"/>
      <c r="D48" s="5" t="s">
        <v>299</v>
      </c>
      <c r="E48" s="8"/>
      <c r="F48" s="8"/>
      <c r="G48" s="9" t="str">
        <f t="shared" si="3"/>
        <v/>
      </c>
      <c r="H48" s="5"/>
      <c r="I48" s="5"/>
      <c r="J48" s="5"/>
      <c r="K48" s="5"/>
      <c r="L48" s="5"/>
      <c r="M48" s="2"/>
      <c r="N48" s="2"/>
      <c r="O48" s="2"/>
      <c r="P48" s="2"/>
      <c r="Q48" s="2"/>
      <c r="R48" s="2"/>
      <c r="S48" s="2"/>
      <c r="T48" s="2"/>
      <c r="U48" s="2"/>
      <c r="V48" s="2"/>
      <c r="W48" s="2"/>
      <c r="X48" s="2"/>
      <c r="Y48" s="2"/>
      <c r="Z48" s="2"/>
    </row>
    <row r="49" spans="1:26">
      <c r="A49" s="4"/>
      <c r="B49" s="3" t="str">
        <f t="shared" si="2"/>
        <v/>
      </c>
      <c r="C49" s="5"/>
      <c r="D49" s="5" t="s">
        <v>299</v>
      </c>
      <c r="E49" s="8"/>
      <c r="F49" s="8"/>
      <c r="G49" s="9" t="str">
        <f t="shared" si="3"/>
        <v/>
      </c>
      <c r="H49" s="5"/>
      <c r="I49" s="5"/>
      <c r="J49" s="5"/>
      <c r="K49" s="5"/>
      <c r="L49" s="5"/>
      <c r="M49" s="2"/>
      <c r="N49" s="2"/>
      <c r="O49" s="2"/>
      <c r="P49" s="2"/>
      <c r="Q49" s="2"/>
      <c r="R49" s="2"/>
      <c r="S49" s="2"/>
      <c r="T49" s="2"/>
      <c r="U49" s="2"/>
      <c r="V49" s="2"/>
      <c r="W49" s="2"/>
      <c r="X49" s="2"/>
      <c r="Y49" s="2"/>
      <c r="Z49" s="2"/>
    </row>
    <row r="50" spans="1:26">
      <c r="A50" s="4"/>
      <c r="B50" s="3" t="str">
        <f t="shared" si="2"/>
        <v/>
      </c>
      <c r="C50" s="5"/>
      <c r="D50" s="5" t="s">
        <v>299</v>
      </c>
      <c r="E50" s="8"/>
      <c r="F50" s="8"/>
      <c r="G50" s="9" t="str">
        <f t="shared" si="3"/>
        <v/>
      </c>
      <c r="H50" s="5"/>
      <c r="I50" s="5"/>
      <c r="J50" s="5"/>
      <c r="K50" s="5"/>
      <c r="L50" s="5"/>
      <c r="M50" s="2"/>
      <c r="N50" s="2"/>
      <c r="O50" s="2"/>
      <c r="P50" s="2"/>
      <c r="Q50" s="2"/>
      <c r="R50" s="2"/>
      <c r="S50" s="2"/>
      <c r="T50" s="2"/>
      <c r="U50" s="2"/>
      <c r="V50" s="2"/>
      <c r="W50" s="2"/>
      <c r="X50" s="2"/>
      <c r="Y50" s="2"/>
      <c r="Z50" s="2"/>
    </row>
    <row r="51" spans="1:26">
      <c r="A51" s="4"/>
      <c r="B51" s="3" t="str">
        <f t="shared" si="2"/>
        <v/>
      </c>
      <c r="C51" s="5"/>
      <c r="D51" s="5" t="s">
        <v>299</v>
      </c>
      <c r="E51" s="8"/>
      <c r="F51" s="8"/>
      <c r="G51" s="9" t="str">
        <f t="shared" si="3"/>
        <v/>
      </c>
      <c r="H51" s="5"/>
      <c r="I51" s="5"/>
      <c r="J51" s="5"/>
      <c r="K51" s="5"/>
      <c r="L51" s="5"/>
      <c r="M51" s="2"/>
      <c r="N51" s="2"/>
      <c r="O51" s="2"/>
      <c r="P51" s="2"/>
      <c r="Q51" s="2"/>
      <c r="R51" s="2"/>
      <c r="S51" s="2"/>
      <c r="T51" s="2"/>
      <c r="U51" s="2"/>
      <c r="V51" s="2"/>
      <c r="W51" s="2"/>
      <c r="X51" s="2"/>
      <c r="Y51" s="2"/>
      <c r="Z51" s="2"/>
    </row>
    <row r="52" spans="1:26">
      <c r="A52" s="4"/>
      <c r="B52" s="3" t="str">
        <f t="shared" si="2"/>
        <v/>
      </c>
      <c r="C52" s="5"/>
      <c r="D52" s="5" t="s">
        <v>299</v>
      </c>
      <c r="E52" s="8"/>
      <c r="F52" s="8"/>
      <c r="G52" s="9" t="str">
        <f t="shared" si="3"/>
        <v/>
      </c>
      <c r="H52" s="5"/>
      <c r="I52" s="5"/>
      <c r="J52" s="5"/>
      <c r="K52" s="5"/>
      <c r="L52" s="5"/>
      <c r="M52" s="2"/>
      <c r="N52" s="2"/>
      <c r="O52" s="2"/>
      <c r="P52" s="2"/>
      <c r="Q52" s="2"/>
      <c r="R52" s="2"/>
      <c r="S52" s="2"/>
      <c r="T52" s="2"/>
      <c r="U52" s="2"/>
      <c r="V52" s="2"/>
      <c r="W52" s="2"/>
      <c r="X52" s="2"/>
      <c r="Y52" s="2"/>
      <c r="Z52" s="2"/>
    </row>
    <row r="53" spans="1:26">
      <c r="A53" s="4"/>
      <c r="B53" s="3" t="str">
        <f t="shared" si="2"/>
        <v/>
      </c>
      <c r="C53" s="5"/>
      <c r="D53" s="5" t="s">
        <v>299</v>
      </c>
      <c r="E53" s="8"/>
      <c r="F53" s="8"/>
      <c r="G53" s="9" t="str">
        <f t="shared" si="3"/>
        <v/>
      </c>
      <c r="H53" s="5"/>
      <c r="I53" s="5"/>
      <c r="J53" s="5"/>
      <c r="K53" s="5"/>
      <c r="L53" s="5"/>
      <c r="M53" s="2"/>
      <c r="N53" s="2"/>
      <c r="O53" s="2"/>
      <c r="P53" s="2"/>
      <c r="Q53" s="2"/>
      <c r="R53" s="2"/>
      <c r="S53" s="2"/>
      <c r="T53" s="2"/>
      <c r="U53" s="2"/>
      <c r="V53" s="2"/>
      <c r="W53" s="2"/>
      <c r="X53" s="2"/>
      <c r="Y53" s="2"/>
      <c r="Z53" s="2"/>
    </row>
    <row r="54" spans="1:26">
      <c r="A54" s="4"/>
      <c r="B54" s="3" t="str">
        <f t="shared" si="2"/>
        <v/>
      </c>
      <c r="C54" s="5"/>
      <c r="D54" s="5" t="s">
        <v>299</v>
      </c>
      <c r="E54" s="8"/>
      <c r="F54" s="8"/>
      <c r="G54" s="9" t="str">
        <f t="shared" si="3"/>
        <v/>
      </c>
      <c r="H54" s="5"/>
      <c r="I54" s="5"/>
      <c r="J54" s="5"/>
      <c r="K54" s="5"/>
      <c r="L54" s="5"/>
      <c r="M54" s="2"/>
      <c r="N54" s="2"/>
      <c r="O54" s="2"/>
      <c r="P54" s="2"/>
      <c r="Q54" s="2"/>
      <c r="R54" s="2"/>
      <c r="S54" s="2"/>
      <c r="T54" s="2"/>
      <c r="U54" s="2"/>
      <c r="V54" s="2"/>
      <c r="W54" s="2"/>
      <c r="X54" s="2"/>
      <c r="Y54" s="2"/>
      <c r="Z54" s="2"/>
    </row>
    <row r="55" spans="1:26">
      <c r="A55" s="4"/>
      <c r="B55" s="3" t="str">
        <f t="shared" si="2"/>
        <v/>
      </c>
      <c r="C55" s="5"/>
      <c r="D55" s="5" t="s">
        <v>299</v>
      </c>
      <c r="E55" s="8"/>
      <c r="F55" s="8"/>
      <c r="G55" s="9" t="str">
        <f t="shared" si="3"/>
        <v/>
      </c>
      <c r="H55" s="5"/>
      <c r="I55" s="5"/>
      <c r="J55" s="5"/>
      <c r="K55" s="5"/>
      <c r="L55" s="5"/>
      <c r="M55" s="2"/>
      <c r="N55" s="2"/>
      <c r="O55" s="2"/>
      <c r="P55" s="2"/>
      <c r="Q55" s="2"/>
      <c r="R55" s="2"/>
      <c r="S55" s="2"/>
      <c r="T55" s="2"/>
      <c r="U55" s="2"/>
      <c r="V55" s="2"/>
      <c r="W55" s="2"/>
      <c r="X55" s="2"/>
      <c r="Y55" s="2"/>
      <c r="Z55" s="2"/>
    </row>
    <row r="56" spans="1:26">
      <c r="A56" s="4"/>
      <c r="B56" s="3" t="str">
        <f t="shared" si="2"/>
        <v/>
      </c>
      <c r="C56" s="5"/>
      <c r="D56" s="5" t="s">
        <v>299</v>
      </c>
      <c r="E56" s="8"/>
      <c r="F56" s="8"/>
      <c r="G56" s="9" t="str">
        <f t="shared" si="3"/>
        <v/>
      </c>
      <c r="H56" s="5"/>
      <c r="I56" s="5"/>
      <c r="J56" s="5"/>
      <c r="K56" s="5"/>
      <c r="L56" s="5"/>
      <c r="M56" s="2"/>
      <c r="N56" s="2"/>
      <c r="O56" s="2"/>
      <c r="P56" s="2"/>
      <c r="Q56" s="2"/>
      <c r="R56" s="2"/>
      <c r="S56" s="2"/>
      <c r="T56" s="2"/>
      <c r="U56" s="2"/>
      <c r="V56" s="2"/>
      <c r="W56" s="2"/>
      <c r="X56" s="2"/>
      <c r="Y56" s="2"/>
      <c r="Z56" s="2"/>
    </row>
    <row r="57" spans="1:26">
      <c r="A57" s="4"/>
      <c r="B57" s="3" t="str">
        <f t="shared" si="2"/>
        <v/>
      </c>
      <c r="C57" s="5"/>
      <c r="D57" s="5" t="s">
        <v>299</v>
      </c>
      <c r="E57" s="8"/>
      <c r="F57" s="8"/>
      <c r="G57" s="9" t="str">
        <f t="shared" si="3"/>
        <v/>
      </c>
      <c r="H57" s="5"/>
      <c r="I57" s="5"/>
      <c r="J57" s="5"/>
      <c r="K57" s="5"/>
      <c r="L57" s="5"/>
      <c r="M57" s="2"/>
      <c r="N57" s="2"/>
      <c r="O57" s="2"/>
      <c r="P57" s="2"/>
      <c r="Q57" s="2"/>
      <c r="R57" s="2"/>
      <c r="S57" s="2"/>
      <c r="T57" s="2"/>
      <c r="U57" s="2"/>
      <c r="V57" s="2"/>
      <c r="W57" s="2"/>
      <c r="X57" s="2"/>
      <c r="Y57" s="2"/>
      <c r="Z57" s="2"/>
    </row>
    <row r="58" spans="1:26">
      <c r="A58" s="4"/>
      <c r="B58" s="3" t="str">
        <f t="shared" si="2"/>
        <v/>
      </c>
      <c r="C58" s="5"/>
      <c r="D58" s="5" t="s">
        <v>299</v>
      </c>
      <c r="E58" s="8"/>
      <c r="F58" s="8"/>
      <c r="G58" s="9" t="str">
        <f t="shared" si="3"/>
        <v/>
      </c>
      <c r="H58" s="5"/>
      <c r="I58" s="5"/>
      <c r="J58" s="5"/>
      <c r="K58" s="5"/>
      <c r="L58" s="5"/>
      <c r="M58" s="2"/>
      <c r="N58" s="2"/>
      <c r="O58" s="2"/>
      <c r="P58" s="2"/>
      <c r="Q58" s="2"/>
      <c r="R58" s="2"/>
      <c r="S58" s="2"/>
      <c r="T58" s="2"/>
      <c r="U58" s="2"/>
      <c r="V58" s="2"/>
      <c r="W58" s="2"/>
      <c r="X58" s="2"/>
      <c r="Y58" s="2"/>
      <c r="Z58" s="2"/>
    </row>
    <row r="59" spans="1:26">
      <c r="A59" s="4"/>
      <c r="B59" s="3" t="str">
        <f t="shared" si="2"/>
        <v/>
      </c>
      <c r="C59" s="5"/>
      <c r="D59" s="5" t="s">
        <v>299</v>
      </c>
      <c r="E59" s="8"/>
      <c r="F59" s="8"/>
      <c r="G59" s="9" t="str">
        <f t="shared" si="3"/>
        <v/>
      </c>
      <c r="H59" s="5"/>
      <c r="I59" s="5"/>
      <c r="J59" s="5"/>
      <c r="K59" s="5"/>
      <c r="L59" s="5"/>
      <c r="M59" s="2"/>
      <c r="N59" s="2"/>
      <c r="O59" s="2"/>
      <c r="P59" s="2"/>
      <c r="Q59" s="2"/>
      <c r="R59" s="2"/>
      <c r="S59" s="2"/>
      <c r="T59" s="2"/>
      <c r="U59" s="2"/>
      <c r="V59" s="2"/>
      <c r="W59" s="2"/>
      <c r="X59" s="2"/>
      <c r="Y59" s="2"/>
      <c r="Z59" s="2"/>
    </row>
    <row r="60" spans="1:26">
      <c r="A60" s="4"/>
      <c r="B60" s="3" t="str">
        <f t="shared" si="2"/>
        <v/>
      </c>
      <c r="C60" s="5"/>
      <c r="D60" s="5" t="s">
        <v>299</v>
      </c>
      <c r="E60" s="8"/>
      <c r="F60" s="8"/>
      <c r="G60" s="9" t="str">
        <f t="shared" si="3"/>
        <v/>
      </c>
      <c r="H60" s="5"/>
      <c r="I60" s="5"/>
      <c r="J60" s="5"/>
      <c r="K60" s="5"/>
      <c r="L60" s="5"/>
      <c r="M60" s="2"/>
      <c r="N60" s="2"/>
      <c r="O60" s="2"/>
      <c r="P60" s="2"/>
      <c r="Q60" s="2"/>
      <c r="R60" s="2"/>
      <c r="S60" s="2"/>
      <c r="T60" s="2"/>
      <c r="U60" s="2"/>
      <c r="V60" s="2"/>
      <c r="W60" s="2"/>
      <c r="X60" s="2"/>
      <c r="Y60" s="2"/>
      <c r="Z60" s="2"/>
    </row>
    <row r="61" spans="1:26">
      <c r="A61" s="4"/>
      <c r="B61" s="3" t="str">
        <f t="shared" si="2"/>
        <v/>
      </c>
      <c r="C61" s="5"/>
      <c r="D61" s="5" t="s">
        <v>299</v>
      </c>
      <c r="E61" s="8"/>
      <c r="F61" s="8"/>
      <c r="G61" s="9" t="str">
        <f t="shared" si="3"/>
        <v/>
      </c>
      <c r="H61" s="5"/>
      <c r="I61" s="5"/>
      <c r="J61" s="5"/>
      <c r="K61" s="5"/>
      <c r="L61" s="5"/>
      <c r="M61" s="2"/>
      <c r="N61" s="2"/>
      <c r="O61" s="2"/>
      <c r="P61" s="2"/>
      <c r="Q61" s="2"/>
      <c r="R61" s="2"/>
      <c r="S61" s="2"/>
      <c r="T61" s="2"/>
      <c r="U61" s="2"/>
      <c r="V61" s="2"/>
      <c r="W61" s="2"/>
      <c r="X61" s="2"/>
      <c r="Y61" s="2"/>
      <c r="Z61" s="2"/>
    </row>
    <row r="62" spans="1:26">
      <c r="A62" s="4"/>
      <c r="B62" s="3" t="str">
        <f t="shared" si="2"/>
        <v/>
      </c>
      <c r="C62" s="5"/>
      <c r="D62" s="5" t="s">
        <v>299</v>
      </c>
      <c r="E62" s="8"/>
      <c r="F62" s="8"/>
      <c r="G62" s="9" t="str">
        <f t="shared" si="3"/>
        <v/>
      </c>
      <c r="H62" s="5"/>
      <c r="I62" s="5"/>
      <c r="J62" s="5"/>
      <c r="K62" s="5"/>
      <c r="L62" s="5"/>
      <c r="M62" s="2"/>
      <c r="N62" s="2"/>
      <c r="O62" s="2"/>
      <c r="P62" s="2"/>
      <c r="Q62" s="2"/>
      <c r="R62" s="2"/>
      <c r="S62" s="2"/>
      <c r="T62" s="2"/>
      <c r="U62" s="2"/>
      <c r="V62" s="2"/>
      <c r="W62" s="2"/>
      <c r="X62" s="2"/>
      <c r="Y62" s="2"/>
      <c r="Z62" s="2"/>
    </row>
    <row r="63" spans="1:26">
      <c r="A63" s="4"/>
      <c r="B63" s="3" t="str">
        <f t="shared" si="2"/>
        <v/>
      </c>
      <c r="C63" s="5"/>
      <c r="D63" s="5" t="s">
        <v>299</v>
      </c>
      <c r="E63" s="8"/>
      <c r="F63" s="8"/>
      <c r="G63" s="9" t="str">
        <f t="shared" si="3"/>
        <v/>
      </c>
      <c r="H63" s="5"/>
      <c r="I63" s="5"/>
      <c r="J63" s="5"/>
      <c r="K63" s="5"/>
      <c r="L63" s="5"/>
      <c r="M63" s="2"/>
      <c r="N63" s="2"/>
      <c r="O63" s="2"/>
      <c r="P63" s="2"/>
      <c r="Q63" s="2"/>
      <c r="R63" s="2"/>
      <c r="S63" s="2"/>
      <c r="T63" s="2"/>
      <c r="U63" s="2"/>
      <c r="V63" s="2"/>
      <c r="W63" s="2"/>
      <c r="X63" s="2"/>
      <c r="Y63" s="2"/>
      <c r="Z63" s="2"/>
    </row>
    <row r="64" spans="1:26">
      <c r="A64" s="4"/>
      <c r="B64" s="3" t="str">
        <f t="shared" si="2"/>
        <v/>
      </c>
      <c r="C64" s="5"/>
      <c r="D64" s="5" t="s">
        <v>299</v>
      </c>
      <c r="E64" s="8"/>
      <c r="F64" s="8"/>
      <c r="G64" s="9" t="str">
        <f t="shared" si="3"/>
        <v/>
      </c>
      <c r="H64" s="5"/>
      <c r="I64" s="5"/>
      <c r="J64" s="5"/>
      <c r="K64" s="5"/>
      <c r="L64" s="5"/>
      <c r="M64" s="2"/>
      <c r="N64" s="2"/>
      <c r="O64" s="2"/>
      <c r="P64" s="2"/>
      <c r="Q64" s="2"/>
      <c r="R64" s="2"/>
      <c r="S64" s="2"/>
      <c r="T64" s="2"/>
      <c r="U64" s="2"/>
      <c r="V64" s="2"/>
      <c r="W64" s="2"/>
      <c r="X64" s="2"/>
      <c r="Y64" s="2"/>
      <c r="Z64" s="2"/>
    </row>
    <row r="65" spans="1:26">
      <c r="A65" s="4"/>
      <c r="B65" s="3" t="str">
        <f t="shared" si="2"/>
        <v/>
      </c>
      <c r="C65" s="5"/>
      <c r="D65" s="5" t="s">
        <v>299</v>
      </c>
      <c r="E65" s="8"/>
      <c r="F65" s="8"/>
      <c r="G65" s="9" t="str">
        <f t="shared" si="3"/>
        <v/>
      </c>
      <c r="H65" s="5"/>
      <c r="I65" s="5"/>
      <c r="J65" s="5"/>
      <c r="K65" s="5"/>
      <c r="L65" s="5"/>
      <c r="M65" s="2"/>
      <c r="N65" s="2"/>
      <c r="O65" s="2"/>
      <c r="P65" s="2"/>
      <c r="Q65" s="2"/>
      <c r="R65" s="2"/>
      <c r="S65" s="2"/>
      <c r="T65" s="2"/>
      <c r="U65" s="2"/>
      <c r="V65" s="2"/>
      <c r="W65" s="2"/>
      <c r="X65" s="2"/>
      <c r="Y65" s="2"/>
      <c r="Z65" s="2"/>
    </row>
    <row r="66" spans="1:26">
      <c r="A66" s="4"/>
      <c r="B66" s="3" t="str">
        <f t="shared" si="2"/>
        <v/>
      </c>
      <c r="C66" s="5"/>
      <c r="D66" s="5" t="s">
        <v>299</v>
      </c>
      <c r="E66" s="8"/>
      <c r="F66" s="8"/>
      <c r="G66" s="9" t="str">
        <f t="shared" si="3"/>
        <v/>
      </c>
      <c r="H66" s="5"/>
      <c r="I66" s="5"/>
      <c r="J66" s="5"/>
      <c r="K66" s="5"/>
      <c r="L66" s="5"/>
      <c r="M66" s="2"/>
      <c r="N66" s="2"/>
      <c r="O66" s="2"/>
      <c r="P66" s="2"/>
      <c r="Q66" s="2"/>
      <c r="R66" s="2"/>
      <c r="S66" s="2"/>
      <c r="T66" s="2"/>
      <c r="U66" s="2"/>
      <c r="V66" s="2"/>
      <c r="W66" s="2"/>
      <c r="X66" s="2"/>
      <c r="Y66" s="2"/>
      <c r="Z66" s="2"/>
    </row>
    <row r="67" spans="1:26">
      <c r="A67" s="4"/>
      <c r="B67" s="3" t="str">
        <f t="shared" si="2"/>
        <v/>
      </c>
      <c r="C67" s="5"/>
      <c r="D67" s="5" t="s">
        <v>299</v>
      </c>
      <c r="E67" s="8"/>
      <c r="F67" s="8"/>
      <c r="G67" s="9" t="str">
        <f t="shared" si="3"/>
        <v/>
      </c>
      <c r="H67" s="5"/>
      <c r="I67" s="5"/>
      <c r="J67" s="5"/>
      <c r="K67" s="5"/>
      <c r="L67" s="5"/>
      <c r="M67" s="2"/>
      <c r="N67" s="2"/>
      <c r="O67" s="2"/>
      <c r="P67" s="2"/>
      <c r="Q67" s="2"/>
      <c r="R67" s="2"/>
      <c r="S67" s="2"/>
      <c r="T67" s="2"/>
      <c r="U67" s="2"/>
      <c r="V67" s="2"/>
      <c r="W67" s="2"/>
      <c r="X67" s="2"/>
      <c r="Y67" s="2"/>
      <c r="Z67" s="2"/>
    </row>
    <row r="68" spans="1:26">
      <c r="A68" s="4"/>
      <c r="B68" s="3" t="str">
        <f t="shared" si="2"/>
        <v/>
      </c>
      <c r="C68" s="5"/>
      <c r="D68" s="5" t="s">
        <v>299</v>
      </c>
      <c r="E68" s="8"/>
      <c r="F68" s="8"/>
      <c r="G68" s="9" t="str">
        <f t="shared" si="3"/>
        <v/>
      </c>
      <c r="H68" s="5"/>
      <c r="I68" s="5"/>
      <c r="J68" s="5"/>
      <c r="K68" s="5"/>
      <c r="L68" s="5"/>
      <c r="M68" s="2"/>
      <c r="N68" s="2"/>
      <c r="O68" s="2"/>
      <c r="P68" s="2"/>
      <c r="Q68" s="2"/>
      <c r="R68" s="2"/>
      <c r="S68" s="2"/>
      <c r="T68" s="2"/>
      <c r="U68" s="2"/>
      <c r="V68" s="2"/>
      <c r="W68" s="2"/>
      <c r="X68" s="2"/>
      <c r="Y68" s="2"/>
      <c r="Z68" s="2"/>
    </row>
    <row r="69" spans="1:26">
      <c r="A69" s="4"/>
      <c r="B69" s="3" t="str">
        <f t="shared" si="2"/>
        <v/>
      </c>
      <c r="C69" s="5"/>
      <c r="D69" s="5" t="s">
        <v>299</v>
      </c>
      <c r="E69" s="8"/>
      <c r="F69" s="8"/>
      <c r="G69" s="9" t="str">
        <f t="shared" si="3"/>
        <v/>
      </c>
      <c r="H69" s="5"/>
      <c r="I69" s="5"/>
      <c r="J69" s="5"/>
      <c r="K69" s="5"/>
      <c r="L69" s="5"/>
      <c r="M69" s="2"/>
      <c r="N69" s="2"/>
      <c r="O69" s="2"/>
      <c r="P69" s="2"/>
      <c r="Q69" s="2"/>
      <c r="R69" s="2"/>
      <c r="S69" s="2"/>
      <c r="T69" s="2"/>
      <c r="U69" s="2"/>
      <c r="V69" s="2"/>
      <c r="W69" s="2"/>
      <c r="X69" s="2"/>
      <c r="Y69" s="2"/>
      <c r="Z69" s="2"/>
    </row>
    <row r="70" spans="1:26">
      <c r="A70" s="4"/>
      <c r="B70" s="3" t="str">
        <f t="shared" ref="B70:B101" si="4">IF(A70="","",TEXT(A70,"dddd"))</f>
        <v/>
      </c>
      <c r="C70" s="5"/>
      <c r="D70" s="5" t="s">
        <v>299</v>
      </c>
      <c r="E70" s="8"/>
      <c r="F70" s="8"/>
      <c r="G70" s="9" t="str">
        <f t="shared" ref="G70:G101" si="5">IF(OR(E70="",F70=""),"",E70*F70)</f>
        <v/>
      </c>
      <c r="H70" s="5"/>
      <c r="I70" s="5"/>
      <c r="J70" s="5"/>
      <c r="K70" s="5"/>
      <c r="L70" s="5"/>
      <c r="M70" s="2"/>
      <c r="N70" s="2"/>
      <c r="O70" s="2"/>
      <c r="P70" s="2"/>
      <c r="Q70" s="2"/>
      <c r="R70" s="2"/>
      <c r="S70" s="2"/>
      <c r="T70" s="2"/>
      <c r="U70" s="2"/>
      <c r="V70" s="2"/>
      <c r="W70" s="2"/>
      <c r="X70" s="2"/>
      <c r="Y70" s="2"/>
      <c r="Z70" s="2"/>
    </row>
    <row r="71" spans="1:26">
      <c r="A71" s="4"/>
      <c r="B71" s="3" t="str">
        <f t="shared" si="4"/>
        <v/>
      </c>
      <c r="C71" s="5"/>
      <c r="D71" s="5" t="s">
        <v>299</v>
      </c>
      <c r="E71" s="8"/>
      <c r="F71" s="8"/>
      <c r="G71" s="9" t="str">
        <f t="shared" si="5"/>
        <v/>
      </c>
      <c r="H71" s="5"/>
      <c r="I71" s="5"/>
      <c r="J71" s="5"/>
      <c r="K71" s="5"/>
      <c r="L71" s="5"/>
      <c r="M71" s="2"/>
      <c r="N71" s="2"/>
      <c r="O71" s="2"/>
      <c r="P71" s="2"/>
      <c r="Q71" s="2"/>
      <c r="R71" s="2"/>
      <c r="S71" s="2"/>
      <c r="T71" s="2"/>
      <c r="U71" s="2"/>
      <c r="V71" s="2"/>
      <c r="W71" s="2"/>
      <c r="X71" s="2"/>
      <c r="Y71" s="2"/>
      <c r="Z71" s="2"/>
    </row>
    <row r="72" spans="1:26">
      <c r="A72" s="4"/>
      <c r="B72" s="3" t="str">
        <f t="shared" si="4"/>
        <v/>
      </c>
      <c r="C72" s="5"/>
      <c r="D72" s="5" t="s">
        <v>299</v>
      </c>
      <c r="E72" s="8"/>
      <c r="F72" s="8"/>
      <c r="G72" s="9" t="str">
        <f t="shared" si="5"/>
        <v/>
      </c>
      <c r="H72" s="5"/>
      <c r="I72" s="5"/>
      <c r="J72" s="5"/>
      <c r="K72" s="5"/>
      <c r="L72" s="5"/>
      <c r="M72" s="2"/>
      <c r="N72" s="2"/>
      <c r="O72" s="2"/>
      <c r="P72" s="2"/>
      <c r="Q72" s="2"/>
      <c r="R72" s="2"/>
      <c r="S72" s="2"/>
      <c r="T72" s="2"/>
      <c r="U72" s="2"/>
      <c r="V72" s="2"/>
      <c r="W72" s="2"/>
      <c r="X72" s="2"/>
      <c r="Y72" s="2"/>
      <c r="Z72" s="2"/>
    </row>
    <row r="73" spans="1:26">
      <c r="A73" s="4"/>
      <c r="B73" s="3" t="str">
        <f t="shared" si="4"/>
        <v/>
      </c>
      <c r="C73" s="5"/>
      <c r="D73" s="5" t="s">
        <v>299</v>
      </c>
      <c r="E73" s="8"/>
      <c r="F73" s="8"/>
      <c r="G73" s="9" t="str">
        <f t="shared" si="5"/>
        <v/>
      </c>
      <c r="H73" s="5"/>
      <c r="I73" s="5"/>
      <c r="J73" s="5"/>
      <c r="K73" s="5"/>
      <c r="L73" s="5"/>
      <c r="M73" s="2"/>
      <c r="N73" s="2"/>
      <c r="O73" s="2"/>
      <c r="P73" s="2"/>
      <c r="Q73" s="2"/>
      <c r="R73" s="2"/>
      <c r="S73" s="2"/>
      <c r="T73" s="2"/>
      <c r="U73" s="2"/>
      <c r="V73" s="2"/>
      <c r="W73" s="2"/>
      <c r="X73" s="2"/>
      <c r="Y73" s="2"/>
      <c r="Z73" s="2"/>
    </row>
    <row r="74" spans="1:26">
      <c r="A74" s="4"/>
      <c r="B74" s="3" t="str">
        <f t="shared" si="4"/>
        <v/>
      </c>
      <c r="C74" s="5"/>
      <c r="D74" s="5" t="s">
        <v>299</v>
      </c>
      <c r="E74" s="8"/>
      <c r="F74" s="8"/>
      <c r="G74" s="9" t="str">
        <f t="shared" si="5"/>
        <v/>
      </c>
      <c r="H74" s="5"/>
      <c r="I74" s="5"/>
      <c r="J74" s="5"/>
      <c r="K74" s="5"/>
      <c r="L74" s="5"/>
      <c r="M74" s="2"/>
      <c r="N74" s="2"/>
      <c r="O74" s="2"/>
      <c r="P74" s="2"/>
      <c r="Q74" s="2"/>
      <c r="R74" s="2"/>
      <c r="S74" s="2"/>
      <c r="T74" s="2"/>
      <c r="U74" s="2"/>
      <c r="V74" s="2"/>
      <c r="W74" s="2"/>
      <c r="X74" s="2"/>
      <c r="Y74" s="2"/>
      <c r="Z74" s="2"/>
    </row>
    <row r="75" spans="1:26">
      <c r="A75" s="4"/>
      <c r="B75" s="3" t="str">
        <f t="shared" si="4"/>
        <v/>
      </c>
      <c r="C75" s="5"/>
      <c r="D75" s="5" t="s">
        <v>299</v>
      </c>
      <c r="E75" s="8"/>
      <c r="F75" s="8"/>
      <c r="G75" s="9" t="str">
        <f t="shared" si="5"/>
        <v/>
      </c>
      <c r="H75" s="5"/>
      <c r="I75" s="5"/>
      <c r="J75" s="5"/>
      <c r="K75" s="5"/>
      <c r="L75" s="5"/>
      <c r="M75" s="2"/>
      <c r="N75" s="2"/>
      <c r="O75" s="2"/>
      <c r="P75" s="2"/>
      <c r="Q75" s="2"/>
      <c r="R75" s="2"/>
      <c r="S75" s="2"/>
      <c r="T75" s="2"/>
      <c r="U75" s="2"/>
      <c r="V75" s="2"/>
      <c r="W75" s="2"/>
      <c r="X75" s="2"/>
      <c r="Y75" s="2"/>
      <c r="Z75" s="2"/>
    </row>
    <row r="76" spans="1:26">
      <c r="A76" s="4"/>
      <c r="B76" s="3" t="str">
        <f t="shared" si="4"/>
        <v/>
      </c>
      <c r="C76" s="5"/>
      <c r="D76" s="5" t="s">
        <v>299</v>
      </c>
      <c r="E76" s="8"/>
      <c r="F76" s="8"/>
      <c r="G76" s="9" t="str">
        <f t="shared" si="5"/>
        <v/>
      </c>
      <c r="H76" s="5"/>
      <c r="I76" s="5"/>
      <c r="J76" s="5"/>
      <c r="K76" s="5"/>
      <c r="L76" s="5"/>
      <c r="M76" s="2"/>
      <c r="N76" s="2"/>
      <c r="O76" s="2"/>
      <c r="P76" s="2"/>
      <c r="Q76" s="2"/>
      <c r="R76" s="2"/>
      <c r="S76" s="2"/>
      <c r="T76" s="2"/>
      <c r="U76" s="2"/>
      <c r="V76" s="2"/>
      <c r="W76" s="2"/>
      <c r="X76" s="2"/>
      <c r="Y76" s="2"/>
      <c r="Z76" s="2"/>
    </row>
    <row r="77" spans="1:26">
      <c r="A77" s="4"/>
      <c r="B77" s="3" t="str">
        <f t="shared" si="4"/>
        <v/>
      </c>
      <c r="C77" s="5"/>
      <c r="D77" s="5" t="s">
        <v>299</v>
      </c>
      <c r="E77" s="8"/>
      <c r="F77" s="8"/>
      <c r="G77" s="9" t="str">
        <f t="shared" si="5"/>
        <v/>
      </c>
      <c r="H77" s="5"/>
      <c r="I77" s="5"/>
      <c r="J77" s="5"/>
      <c r="K77" s="5"/>
      <c r="L77" s="5"/>
      <c r="M77" s="2"/>
      <c r="N77" s="2"/>
      <c r="O77" s="2"/>
      <c r="P77" s="2"/>
      <c r="Q77" s="2"/>
      <c r="R77" s="2"/>
      <c r="S77" s="2"/>
      <c r="T77" s="2"/>
      <c r="U77" s="2"/>
      <c r="V77" s="2"/>
      <c r="W77" s="2"/>
      <c r="X77" s="2"/>
      <c r="Y77" s="2"/>
      <c r="Z77" s="2"/>
    </row>
    <row r="78" spans="1:26">
      <c r="A78" s="4"/>
      <c r="B78" s="3" t="str">
        <f t="shared" si="4"/>
        <v/>
      </c>
      <c r="C78" s="5"/>
      <c r="D78" s="5" t="s">
        <v>299</v>
      </c>
      <c r="E78" s="8"/>
      <c r="F78" s="8"/>
      <c r="G78" s="9" t="str">
        <f t="shared" si="5"/>
        <v/>
      </c>
      <c r="H78" s="5"/>
      <c r="I78" s="5"/>
      <c r="J78" s="5"/>
      <c r="K78" s="5"/>
      <c r="L78" s="5"/>
      <c r="M78" s="2"/>
      <c r="N78" s="2"/>
      <c r="O78" s="2"/>
      <c r="P78" s="2"/>
      <c r="Q78" s="2"/>
      <c r="R78" s="2"/>
      <c r="S78" s="2"/>
      <c r="T78" s="2"/>
      <c r="U78" s="2"/>
      <c r="V78" s="2"/>
      <c r="W78" s="2"/>
      <c r="X78" s="2"/>
      <c r="Y78" s="2"/>
      <c r="Z78" s="2"/>
    </row>
    <row r="79" spans="1:26">
      <c r="A79" s="4"/>
      <c r="B79" s="3" t="str">
        <f t="shared" si="4"/>
        <v/>
      </c>
      <c r="C79" s="5"/>
      <c r="D79" s="5" t="s">
        <v>299</v>
      </c>
      <c r="E79" s="8"/>
      <c r="F79" s="8"/>
      <c r="G79" s="9" t="str">
        <f t="shared" si="5"/>
        <v/>
      </c>
      <c r="H79" s="5"/>
      <c r="I79" s="5"/>
      <c r="J79" s="5"/>
      <c r="K79" s="5"/>
      <c r="L79" s="5"/>
      <c r="M79" s="2"/>
      <c r="N79" s="2"/>
      <c r="O79" s="2"/>
      <c r="P79" s="2"/>
      <c r="Q79" s="2"/>
      <c r="R79" s="2"/>
      <c r="S79" s="2"/>
      <c r="T79" s="2"/>
      <c r="U79" s="2"/>
      <c r="V79" s="2"/>
      <c r="W79" s="2"/>
      <c r="X79" s="2"/>
      <c r="Y79" s="2"/>
      <c r="Z79" s="2"/>
    </row>
    <row r="80" spans="1:26">
      <c r="A80" s="4"/>
      <c r="B80" s="3" t="str">
        <f t="shared" si="4"/>
        <v/>
      </c>
      <c r="C80" s="5"/>
      <c r="D80" s="5" t="s">
        <v>299</v>
      </c>
      <c r="E80" s="8"/>
      <c r="F80" s="8"/>
      <c r="G80" s="9" t="str">
        <f t="shared" si="5"/>
        <v/>
      </c>
      <c r="H80" s="5"/>
      <c r="I80" s="5"/>
      <c r="J80" s="5"/>
      <c r="K80" s="5"/>
      <c r="L80" s="5"/>
      <c r="M80" s="2"/>
      <c r="N80" s="2"/>
      <c r="O80" s="2"/>
      <c r="P80" s="2"/>
      <c r="Q80" s="2"/>
      <c r="R80" s="2"/>
      <c r="S80" s="2"/>
      <c r="T80" s="2"/>
      <c r="U80" s="2"/>
      <c r="V80" s="2"/>
      <c r="W80" s="2"/>
      <c r="X80" s="2"/>
      <c r="Y80" s="2"/>
      <c r="Z80" s="2"/>
    </row>
    <row r="81" spans="1:26">
      <c r="A81" s="4"/>
      <c r="B81" s="3" t="str">
        <f t="shared" si="4"/>
        <v/>
      </c>
      <c r="C81" s="5"/>
      <c r="D81" s="5" t="s">
        <v>299</v>
      </c>
      <c r="E81" s="8"/>
      <c r="F81" s="8"/>
      <c r="G81" s="9" t="str">
        <f t="shared" si="5"/>
        <v/>
      </c>
      <c r="H81" s="5"/>
      <c r="I81" s="5"/>
      <c r="J81" s="5"/>
      <c r="K81" s="5"/>
      <c r="L81" s="5"/>
      <c r="M81" s="2"/>
      <c r="N81" s="2"/>
      <c r="O81" s="2"/>
      <c r="P81" s="2"/>
      <c r="Q81" s="2"/>
      <c r="R81" s="2"/>
      <c r="S81" s="2"/>
      <c r="T81" s="2"/>
      <c r="U81" s="2"/>
      <c r="V81" s="2"/>
      <c r="W81" s="2"/>
      <c r="X81" s="2"/>
      <c r="Y81" s="2"/>
      <c r="Z81" s="2"/>
    </row>
    <row r="82" spans="1:26">
      <c r="A82" s="4"/>
      <c r="B82" s="3" t="str">
        <f t="shared" si="4"/>
        <v/>
      </c>
      <c r="C82" s="5"/>
      <c r="D82" s="5" t="s">
        <v>299</v>
      </c>
      <c r="E82" s="8"/>
      <c r="F82" s="8"/>
      <c r="G82" s="9" t="str">
        <f t="shared" si="5"/>
        <v/>
      </c>
      <c r="H82" s="5"/>
      <c r="I82" s="5"/>
      <c r="J82" s="5"/>
      <c r="K82" s="5"/>
      <c r="L82" s="5"/>
      <c r="M82" s="2"/>
      <c r="N82" s="2"/>
      <c r="O82" s="2"/>
      <c r="P82" s="2"/>
      <c r="Q82" s="2"/>
      <c r="R82" s="2"/>
      <c r="S82" s="2"/>
      <c r="T82" s="2"/>
      <c r="U82" s="2"/>
      <c r="V82" s="2"/>
      <c r="W82" s="2"/>
      <c r="X82" s="2"/>
      <c r="Y82" s="2"/>
      <c r="Z82" s="2"/>
    </row>
    <row r="83" spans="1:26">
      <c r="A83" s="4"/>
      <c r="B83" s="3" t="str">
        <f t="shared" si="4"/>
        <v/>
      </c>
      <c r="C83" s="5"/>
      <c r="D83" s="5" t="s">
        <v>299</v>
      </c>
      <c r="E83" s="8"/>
      <c r="F83" s="8"/>
      <c r="G83" s="9" t="str">
        <f t="shared" si="5"/>
        <v/>
      </c>
      <c r="H83" s="5"/>
      <c r="I83" s="5"/>
      <c r="J83" s="5"/>
      <c r="K83" s="5"/>
      <c r="L83" s="5"/>
      <c r="M83" s="2"/>
      <c r="N83" s="2"/>
      <c r="O83" s="2"/>
      <c r="P83" s="2"/>
      <c r="Q83" s="2"/>
      <c r="R83" s="2"/>
      <c r="S83" s="2"/>
      <c r="T83" s="2"/>
      <c r="U83" s="2"/>
      <c r="V83" s="2"/>
      <c r="W83" s="2"/>
      <c r="X83" s="2"/>
      <c r="Y83" s="2"/>
      <c r="Z83" s="2"/>
    </row>
    <row r="84" spans="1:26">
      <c r="A84" s="4"/>
      <c r="B84" s="3" t="str">
        <f t="shared" si="4"/>
        <v/>
      </c>
      <c r="C84" s="5"/>
      <c r="D84" s="5" t="s">
        <v>299</v>
      </c>
      <c r="E84" s="8"/>
      <c r="F84" s="8"/>
      <c r="G84" s="9" t="str">
        <f t="shared" si="5"/>
        <v/>
      </c>
      <c r="H84" s="5"/>
      <c r="I84" s="5"/>
      <c r="J84" s="5"/>
      <c r="K84" s="5"/>
      <c r="L84" s="5"/>
      <c r="M84" s="2"/>
      <c r="N84" s="2"/>
      <c r="O84" s="2"/>
      <c r="P84" s="2"/>
      <c r="Q84" s="2"/>
      <c r="R84" s="2"/>
      <c r="S84" s="2"/>
      <c r="T84" s="2"/>
      <c r="U84" s="2"/>
      <c r="V84" s="2"/>
      <c r="W84" s="2"/>
      <c r="X84" s="2"/>
      <c r="Y84" s="2"/>
      <c r="Z84" s="2"/>
    </row>
    <row r="85" spans="1:26">
      <c r="A85" s="4"/>
      <c r="B85" s="3" t="str">
        <f t="shared" si="4"/>
        <v/>
      </c>
      <c r="C85" s="5"/>
      <c r="D85" s="5" t="s">
        <v>299</v>
      </c>
      <c r="E85" s="8"/>
      <c r="F85" s="8"/>
      <c r="G85" s="9" t="str">
        <f t="shared" si="5"/>
        <v/>
      </c>
      <c r="H85" s="5"/>
      <c r="I85" s="5"/>
      <c r="J85" s="5"/>
      <c r="K85" s="5"/>
      <c r="L85" s="5"/>
      <c r="M85" s="2"/>
      <c r="N85" s="2"/>
      <c r="O85" s="2"/>
      <c r="P85" s="2"/>
      <c r="Q85" s="2"/>
      <c r="R85" s="2"/>
      <c r="S85" s="2"/>
      <c r="T85" s="2"/>
      <c r="U85" s="2"/>
      <c r="V85" s="2"/>
      <c r="W85" s="2"/>
      <c r="X85" s="2"/>
      <c r="Y85" s="2"/>
      <c r="Z85" s="2"/>
    </row>
    <row r="86" spans="1:26">
      <c r="A86" s="4"/>
      <c r="B86" s="3" t="str">
        <f t="shared" si="4"/>
        <v/>
      </c>
      <c r="C86" s="5"/>
      <c r="D86" s="5" t="s">
        <v>299</v>
      </c>
      <c r="E86" s="8"/>
      <c r="F86" s="8"/>
      <c r="G86" s="9" t="str">
        <f t="shared" si="5"/>
        <v/>
      </c>
      <c r="H86" s="5"/>
      <c r="I86" s="5"/>
      <c r="J86" s="5"/>
      <c r="K86" s="5"/>
      <c r="L86" s="5"/>
      <c r="M86" s="2"/>
      <c r="N86" s="2"/>
      <c r="O86" s="2"/>
      <c r="P86" s="2"/>
      <c r="Q86" s="2"/>
      <c r="R86" s="2"/>
      <c r="S86" s="2"/>
      <c r="T86" s="2"/>
      <c r="U86" s="2"/>
      <c r="V86" s="2"/>
      <c r="W86" s="2"/>
      <c r="X86" s="2"/>
      <c r="Y86" s="2"/>
      <c r="Z86" s="2"/>
    </row>
    <row r="87" spans="1:26">
      <c r="A87" s="4"/>
      <c r="B87" s="3" t="str">
        <f t="shared" si="4"/>
        <v/>
      </c>
      <c r="C87" s="5"/>
      <c r="D87" s="5" t="s">
        <v>299</v>
      </c>
      <c r="E87" s="8"/>
      <c r="F87" s="8"/>
      <c r="G87" s="9" t="str">
        <f t="shared" si="5"/>
        <v/>
      </c>
      <c r="H87" s="5"/>
      <c r="I87" s="5"/>
      <c r="J87" s="5"/>
      <c r="K87" s="5"/>
      <c r="L87" s="5"/>
      <c r="M87" s="2"/>
      <c r="N87" s="2"/>
      <c r="O87" s="2"/>
      <c r="P87" s="2"/>
      <c r="Q87" s="2"/>
      <c r="R87" s="2"/>
      <c r="S87" s="2"/>
      <c r="T87" s="2"/>
      <c r="U87" s="2"/>
      <c r="V87" s="2"/>
      <c r="W87" s="2"/>
      <c r="X87" s="2"/>
      <c r="Y87" s="2"/>
      <c r="Z87" s="2"/>
    </row>
    <row r="88" spans="1:26">
      <c r="A88" s="4"/>
      <c r="B88" s="3" t="str">
        <f t="shared" si="4"/>
        <v/>
      </c>
      <c r="C88" s="5"/>
      <c r="D88" s="5" t="s">
        <v>299</v>
      </c>
      <c r="E88" s="8"/>
      <c r="F88" s="8"/>
      <c r="G88" s="9" t="str">
        <f t="shared" si="5"/>
        <v/>
      </c>
      <c r="H88" s="5"/>
      <c r="I88" s="5"/>
      <c r="J88" s="5"/>
      <c r="K88" s="5"/>
      <c r="L88" s="5"/>
      <c r="M88" s="2"/>
      <c r="N88" s="2"/>
      <c r="O88" s="2"/>
      <c r="P88" s="2"/>
      <c r="Q88" s="2"/>
      <c r="R88" s="2"/>
      <c r="S88" s="2"/>
      <c r="T88" s="2"/>
      <c r="U88" s="2"/>
      <c r="V88" s="2"/>
      <c r="W88" s="2"/>
      <c r="X88" s="2"/>
      <c r="Y88" s="2"/>
      <c r="Z88" s="2"/>
    </row>
    <row r="89" spans="1:26">
      <c r="A89" s="4"/>
      <c r="B89" s="3" t="str">
        <f t="shared" si="4"/>
        <v/>
      </c>
      <c r="C89" s="5"/>
      <c r="D89" s="5" t="s">
        <v>299</v>
      </c>
      <c r="E89" s="8"/>
      <c r="F89" s="8"/>
      <c r="G89" s="9" t="str">
        <f t="shared" si="5"/>
        <v/>
      </c>
      <c r="H89" s="5"/>
      <c r="I89" s="5"/>
      <c r="J89" s="5"/>
      <c r="K89" s="5"/>
      <c r="L89" s="5"/>
      <c r="M89" s="2"/>
      <c r="N89" s="2"/>
      <c r="O89" s="2"/>
      <c r="P89" s="2"/>
      <c r="Q89" s="2"/>
      <c r="R89" s="2"/>
      <c r="S89" s="2"/>
      <c r="T89" s="2"/>
      <c r="U89" s="2"/>
      <c r="V89" s="2"/>
      <c r="W89" s="2"/>
      <c r="X89" s="2"/>
      <c r="Y89" s="2"/>
      <c r="Z89" s="2"/>
    </row>
    <row r="90" spans="1:26">
      <c r="A90" s="4"/>
      <c r="B90" s="3" t="str">
        <f t="shared" si="4"/>
        <v/>
      </c>
      <c r="C90" s="5"/>
      <c r="D90" s="5" t="s">
        <v>299</v>
      </c>
      <c r="E90" s="8"/>
      <c r="F90" s="8"/>
      <c r="G90" s="9" t="str">
        <f t="shared" si="5"/>
        <v/>
      </c>
      <c r="H90" s="5"/>
      <c r="I90" s="5"/>
      <c r="J90" s="5"/>
      <c r="K90" s="5"/>
      <c r="L90" s="5"/>
      <c r="M90" s="2"/>
      <c r="N90" s="2"/>
      <c r="O90" s="2"/>
      <c r="P90" s="2"/>
      <c r="Q90" s="2"/>
      <c r="R90" s="2"/>
      <c r="S90" s="2"/>
      <c r="T90" s="2"/>
      <c r="U90" s="2"/>
      <c r="V90" s="2"/>
      <c r="W90" s="2"/>
      <c r="X90" s="2"/>
      <c r="Y90" s="2"/>
      <c r="Z90" s="2"/>
    </row>
    <row r="91" spans="1:26">
      <c r="A91" s="4"/>
      <c r="B91" s="3" t="str">
        <f t="shared" si="4"/>
        <v/>
      </c>
      <c r="C91" s="5"/>
      <c r="D91" s="5" t="s">
        <v>299</v>
      </c>
      <c r="E91" s="8"/>
      <c r="F91" s="8"/>
      <c r="G91" s="9" t="str">
        <f t="shared" si="5"/>
        <v/>
      </c>
      <c r="H91" s="5"/>
      <c r="I91" s="5"/>
      <c r="J91" s="5"/>
      <c r="K91" s="5"/>
      <c r="L91" s="5"/>
      <c r="M91" s="2"/>
      <c r="N91" s="2"/>
      <c r="O91" s="2"/>
      <c r="P91" s="2"/>
      <c r="Q91" s="2"/>
      <c r="R91" s="2"/>
      <c r="S91" s="2"/>
      <c r="T91" s="2"/>
      <c r="U91" s="2"/>
      <c r="V91" s="2"/>
      <c r="W91" s="2"/>
      <c r="X91" s="2"/>
      <c r="Y91" s="2"/>
      <c r="Z91" s="2"/>
    </row>
    <row r="92" spans="1:26">
      <c r="A92" s="4"/>
      <c r="B92" s="3" t="str">
        <f t="shared" si="4"/>
        <v/>
      </c>
      <c r="C92" s="5"/>
      <c r="D92" s="5" t="s">
        <v>299</v>
      </c>
      <c r="E92" s="8"/>
      <c r="F92" s="8"/>
      <c r="G92" s="9" t="str">
        <f t="shared" si="5"/>
        <v/>
      </c>
      <c r="H92" s="5"/>
      <c r="I92" s="5"/>
      <c r="J92" s="5"/>
      <c r="K92" s="5"/>
      <c r="L92" s="5"/>
      <c r="M92" s="2"/>
      <c r="N92" s="2"/>
      <c r="O92" s="2"/>
      <c r="P92" s="2"/>
      <c r="Q92" s="2"/>
      <c r="R92" s="2"/>
      <c r="S92" s="2"/>
      <c r="T92" s="2"/>
      <c r="U92" s="2"/>
      <c r="V92" s="2"/>
      <c r="W92" s="2"/>
      <c r="X92" s="2"/>
      <c r="Y92" s="2"/>
      <c r="Z92" s="2"/>
    </row>
    <row r="93" spans="1:26">
      <c r="A93" s="4"/>
      <c r="B93" s="3" t="str">
        <f t="shared" si="4"/>
        <v/>
      </c>
      <c r="C93" s="5"/>
      <c r="D93" s="5" t="s">
        <v>299</v>
      </c>
      <c r="E93" s="8"/>
      <c r="F93" s="8"/>
      <c r="G93" s="9" t="str">
        <f t="shared" si="5"/>
        <v/>
      </c>
      <c r="H93" s="5"/>
      <c r="I93" s="5"/>
      <c r="J93" s="5"/>
      <c r="K93" s="5"/>
      <c r="L93" s="5"/>
      <c r="M93" s="2"/>
      <c r="N93" s="2"/>
      <c r="O93" s="2"/>
      <c r="P93" s="2"/>
      <c r="Q93" s="2"/>
      <c r="R93" s="2"/>
      <c r="S93" s="2"/>
      <c r="T93" s="2"/>
      <c r="U93" s="2"/>
      <c r="V93" s="2"/>
      <c r="W93" s="2"/>
      <c r="X93" s="2"/>
      <c r="Y93" s="2"/>
      <c r="Z93" s="2"/>
    </row>
    <row r="94" spans="1:26">
      <c r="A94" s="4"/>
      <c r="B94" s="3" t="str">
        <f t="shared" si="4"/>
        <v/>
      </c>
      <c r="C94" s="5"/>
      <c r="D94" s="5" t="s">
        <v>299</v>
      </c>
      <c r="E94" s="8"/>
      <c r="F94" s="8"/>
      <c r="G94" s="9" t="str">
        <f t="shared" si="5"/>
        <v/>
      </c>
      <c r="H94" s="5"/>
      <c r="I94" s="5"/>
      <c r="J94" s="5"/>
      <c r="K94" s="5"/>
      <c r="L94" s="5"/>
      <c r="M94" s="2"/>
      <c r="N94" s="2"/>
      <c r="O94" s="2"/>
      <c r="P94" s="2"/>
      <c r="Q94" s="2"/>
      <c r="R94" s="2"/>
      <c r="S94" s="2"/>
      <c r="T94" s="2"/>
      <c r="U94" s="2"/>
      <c r="V94" s="2"/>
      <c r="W94" s="2"/>
      <c r="X94" s="2"/>
      <c r="Y94" s="2"/>
      <c r="Z94" s="2"/>
    </row>
    <row r="95" spans="1:26">
      <c r="A95" s="4"/>
      <c r="B95" s="3" t="str">
        <f t="shared" si="4"/>
        <v/>
      </c>
      <c r="C95" s="5"/>
      <c r="D95" s="5" t="s">
        <v>299</v>
      </c>
      <c r="E95" s="8"/>
      <c r="F95" s="8"/>
      <c r="G95" s="9" t="str">
        <f t="shared" si="5"/>
        <v/>
      </c>
      <c r="H95" s="5"/>
      <c r="I95" s="5"/>
      <c r="J95" s="5"/>
      <c r="K95" s="5"/>
      <c r="L95" s="5"/>
      <c r="M95" s="2"/>
      <c r="N95" s="2"/>
      <c r="O95" s="2"/>
      <c r="P95" s="2"/>
      <c r="Q95" s="2"/>
      <c r="R95" s="2"/>
      <c r="S95" s="2"/>
      <c r="T95" s="2"/>
      <c r="U95" s="2"/>
      <c r="V95" s="2"/>
      <c r="W95" s="2"/>
      <c r="X95" s="2"/>
      <c r="Y95" s="2"/>
      <c r="Z95" s="2"/>
    </row>
    <row r="96" spans="1:26">
      <c r="A96" s="4"/>
      <c r="B96" s="3" t="str">
        <f t="shared" si="4"/>
        <v/>
      </c>
      <c r="C96" s="5"/>
      <c r="D96" s="5" t="s">
        <v>299</v>
      </c>
      <c r="E96" s="8"/>
      <c r="F96" s="8"/>
      <c r="G96" s="9" t="str">
        <f t="shared" si="5"/>
        <v/>
      </c>
      <c r="H96" s="5"/>
      <c r="I96" s="5"/>
      <c r="J96" s="5"/>
      <c r="K96" s="5"/>
      <c r="L96" s="5"/>
      <c r="M96" s="2"/>
      <c r="N96" s="2"/>
      <c r="O96" s="2"/>
      <c r="P96" s="2"/>
      <c r="Q96" s="2"/>
      <c r="R96" s="2"/>
      <c r="S96" s="2"/>
      <c r="T96" s="2"/>
      <c r="U96" s="2"/>
      <c r="V96" s="2"/>
      <c r="W96" s="2"/>
      <c r="X96" s="2"/>
      <c r="Y96" s="2"/>
      <c r="Z96" s="2"/>
    </row>
    <row r="97" spans="1:26">
      <c r="A97" s="4"/>
      <c r="B97" s="3" t="str">
        <f t="shared" si="4"/>
        <v/>
      </c>
      <c r="C97" s="5"/>
      <c r="D97" s="5" t="s">
        <v>299</v>
      </c>
      <c r="E97" s="8"/>
      <c r="F97" s="8"/>
      <c r="G97" s="9" t="str">
        <f t="shared" si="5"/>
        <v/>
      </c>
      <c r="H97" s="5"/>
      <c r="I97" s="5"/>
      <c r="J97" s="5"/>
      <c r="K97" s="5"/>
      <c r="L97" s="5"/>
      <c r="M97" s="2"/>
      <c r="N97" s="2"/>
      <c r="O97" s="2"/>
      <c r="P97" s="2"/>
      <c r="Q97" s="2"/>
      <c r="R97" s="2"/>
      <c r="S97" s="2"/>
      <c r="T97" s="2"/>
      <c r="U97" s="2"/>
      <c r="V97" s="2"/>
      <c r="W97" s="2"/>
      <c r="X97" s="2"/>
      <c r="Y97" s="2"/>
      <c r="Z97" s="2"/>
    </row>
    <row r="98" spans="1:26">
      <c r="A98" s="4"/>
      <c r="B98" s="3" t="str">
        <f t="shared" si="4"/>
        <v/>
      </c>
      <c r="C98" s="5"/>
      <c r="D98" s="5" t="s">
        <v>299</v>
      </c>
      <c r="E98" s="8"/>
      <c r="F98" s="8"/>
      <c r="G98" s="9" t="str">
        <f t="shared" si="5"/>
        <v/>
      </c>
      <c r="H98" s="5"/>
      <c r="I98" s="5"/>
      <c r="J98" s="5"/>
      <c r="K98" s="5"/>
      <c r="L98" s="5"/>
      <c r="M98" s="2"/>
      <c r="N98" s="2"/>
      <c r="O98" s="2"/>
      <c r="P98" s="2"/>
      <c r="Q98" s="2"/>
      <c r="R98" s="2"/>
      <c r="S98" s="2"/>
      <c r="T98" s="2"/>
      <c r="U98" s="2"/>
      <c r="V98" s="2"/>
      <c r="W98" s="2"/>
      <c r="X98" s="2"/>
      <c r="Y98" s="2"/>
      <c r="Z98" s="2"/>
    </row>
    <row r="99" spans="1:26">
      <c r="A99" s="4"/>
      <c r="B99" s="3" t="str">
        <f t="shared" si="4"/>
        <v/>
      </c>
      <c r="C99" s="5"/>
      <c r="D99" s="5" t="s">
        <v>299</v>
      </c>
      <c r="E99" s="8"/>
      <c r="F99" s="8"/>
      <c r="G99" s="9" t="str">
        <f t="shared" si="5"/>
        <v/>
      </c>
      <c r="H99" s="5"/>
      <c r="I99" s="5"/>
      <c r="J99" s="5"/>
      <c r="K99" s="5"/>
      <c r="L99" s="5"/>
      <c r="M99" s="2"/>
      <c r="N99" s="2"/>
      <c r="O99" s="2"/>
      <c r="P99" s="2"/>
      <c r="Q99" s="2"/>
      <c r="R99" s="2"/>
      <c r="S99" s="2"/>
      <c r="T99" s="2"/>
      <c r="U99" s="2"/>
      <c r="V99" s="2"/>
      <c r="W99" s="2"/>
      <c r="X99" s="2"/>
      <c r="Y99" s="2"/>
      <c r="Z99" s="2"/>
    </row>
    <row r="100" spans="1:26">
      <c r="A100" s="4"/>
      <c r="B100" s="3" t="str">
        <f t="shared" si="4"/>
        <v/>
      </c>
      <c r="C100" s="5"/>
      <c r="D100" s="5" t="s">
        <v>299</v>
      </c>
      <c r="E100" s="8"/>
      <c r="F100" s="8"/>
      <c r="G100" s="9" t="str">
        <f t="shared" si="5"/>
        <v/>
      </c>
      <c r="H100" s="5"/>
      <c r="I100" s="5"/>
      <c r="J100" s="5"/>
      <c r="K100" s="5"/>
      <c r="L100" s="5"/>
      <c r="M100" s="2"/>
      <c r="N100" s="2"/>
      <c r="O100" s="2"/>
      <c r="P100" s="2"/>
      <c r="Q100" s="2"/>
      <c r="R100" s="2"/>
      <c r="S100" s="2"/>
      <c r="T100" s="2"/>
      <c r="U100" s="2"/>
      <c r="V100" s="2"/>
      <c r="W100" s="2"/>
      <c r="X100" s="2"/>
      <c r="Y100" s="2"/>
      <c r="Z100" s="2"/>
    </row>
    <row r="101" spans="1:26">
      <c r="A101" s="4"/>
      <c r="B101" s="3" t="str">
        <f t="shared" si="4"/>
        <v/>
      </c>
      <c r="C101" s="5"/>
      <c r="D101" s="5" t="s">
        <v>299</v>
      </c>
      <c r="E101" s="8"/>
      <c r="F101" s="8"/>
      <c r="G101" s="9" t="str">
        <f t="shared" si="5"/>
        <v/>
      </c>
      <c r="H101" s="5"/>
      <c r="I101" s="5"/>
      <c r="J101" s="5"/>
      <c r="K101" s="5"/>
      <c r="L101" s="5"/>
      <c r="M101" s="2"/>
      <c r="N101" s="2"/>
      <c r="O101" s="2"/>
      <c r="P101" s="2"/>
      <c r="Q101" s="2"/>
      <c r="R101" s="2"/>
      <c r="S101" s="2"/>
      <c r="T101" s="2"/>
      <c r="U101" s="2"/>
      <c r="V101" s="2"/>
      <c r="W101" s="2"/>
      <c r="X101" s="2"/>
      <c r="Y101" s="2"/>
      <c r="Z101" s="2"/>
    </row>
    <row r="102" spans="1:26">
      <c r="A102" s="4"/>
      <c r="B102" s="3" t="str">
        <f t="shared" ref="B102:B133" si="6">IF(A102="","",TEXT(A102,"dddd"))</f>
        <v/>
      </c>
      <c r="C102" s="5"/>
      <c r="D102" s="5" t="s">
        <v>299</v>
      </c>
      <c r="E102" s="8"/>
      <c r="F102" s="8"/>
      <c r="G102" s="9" t="str">
        <f t="shared" ref="G102:G133" si="7">IF(OR(E102="",F102=""),"",E102*F102)</f>
        <v/>
      </c>
      <c r="H102" s="5"/>
      <c r="I102" s="5"/>
      <c r="J102" s="5"/>
      <c r="K102" s="5"/>
      <c r="L102" s="5"/>
      <c r="M102" s="2"/>
      <c r="N102" s="2"/>
      <c r="O102" s="2"/>
      <c r="P102" s="2"/>
      <c r="Q102" s="2"/>
      <c r="R102" s="2"/>
      <c r="S102" s="2"/>
      <c r="T102" s="2"/>
      <c r="U102" s="2"/>
      <c r="V102" s="2"/>
      <c r="W102" s="2"/>
      <c r="X102" s="2"/>
      <c r="Y102" s="2"/>
      <c r="Z102" s="2"/>
    </row>
    <row r="103" spans="1:26">
      <c r="A103" s="4"/>
      <c r="B103" s="3" t="str">
        <f t="shared" si="6"/>
        <v/>
      </c>
      <c r="C103" s="5"/>
      <c r="D103" s="5" t="s">
        <v>299</v>
      </c>
      <c r="E103" s="8"/>
      <c r="F103" s="8"/>
      <c r="G103" s="9" t="str">
        <f t="shared" si="7"/>
        <v/>
      </c>
      <c r="H103" s="5"/>
      <c r="I103" s="5"/>
      <c r="J103" s="5"/>
      <c r="K103" s="5"/>
      <c r="L103" s="5"/>
      <c r="M103" s="2"/>
      <c r="N103" s="2"/>
      <c r="O103" s="2"/>
      <c r="P103" s="2"/>
      <c r="Q103" s="2"/>
      <c r="R103" s="2"/>
      <c r="S103" s="2"/>
      <c r="T103" s="2"/>
      <c r="U103" s="2"/>
      <c r="V103" s="2"/>
      <c r="W103" s="2"/>
      <c r="X103" s="2"/>
      <c r="Y103" s="2"/>
      <c r="Z103" s="2"/>
    </row>
    <row r="104" spans="1:26">
      <c r="A104" s="4"/>
      <c r="B104" s="3" t="str">
        <f t="shared" si="6"/>
        <v/>
      </c>
      <c r="C104" s="5"/>
      <c r="D104" s="5" t="s">
        <v>299</v>
      </c>
      <c r="E104" s="8"/>
      <c r="F104" s="8"/>
      <c r="G104" s="9" t="str">
        <f t="shared" si="7"/>
        <v/>
      </c>
      <c r="H104" s="5"/>
      <c r="I104" s="5"/>
      <c r="J104" s="5"/>
      <c r="K104" s="5"/>
      <c r="L104" s="5"/>
      <c r="M104" s="2"/>
      <c r="N104" s="2"/>
      <c r="O104" s="2"/>
      <c r="P104" s="2"/>
      <c r="Q104" s="2"/>
      <c r="R104" s="2"/>
      <c r="S104" s="2"/>
      <c r="T104" s="2"/>
      <c r="U104" s="2"/>
      <c r="V104" s="2"/>
      <c r="W104" s="2"/>
      <c r="X104" s="2"/>
      <c r="Y104" s="2"/>
      <c r="Z104" s="2"/>
    </row>
    <row r="105" spans="1:26">
      <c r="A105" s="4"/>
      <c r="B105" s="3" t="str">
        <f t="shared" si="6"/>
        <v/>
      </c>
      <c r="C105" s="5"/>
      <c r="D105" s="5" t="s">
        <v>299</v>
      </c>
      <c r="E105" s="8"/>
      <c r="F105" s="8"/>
      <c r="G105" s="9" t="str">
        <f t="shared" si="7"/>
        <v/>
      </c>
      <c r="H105" s="5"/>
      <c r="I105" s="5"/>
      <c r="J105" s="5"/>
      <c r="K105" s="5"/>
      <c r="L105" s="5"/>
      <c r="M105" s="2"/>
      <c r="N105" s="2"/>
      <c r="O105" s="2"/>
      <c r="P105" s="2"/>
      <c r="Q105" s="2"/>
      <c r="R105" s="2"/>
      <c r="S105" s="2"/>
      <c r="T105" s="2"/>
      <c r="U105" s="2"/>
      <c r="V105" s="2"/>
      <c r="W105" s="2"/>
      <c r="X105" s="2"/>
      <c r="Y105" s="2"/>
      <c r="Z105" s="2"/>
    </row>
    <row r="106" spans="1:2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sheetData>
  <mergeCells count="2">
    <mergeCell ref="A1:L1"/>
    <mergeCell ref="A2:L3"/>
  </mergeCells>
  <conditionalFormatting sqref="F6:F105">
    <cfRule type="cellIs" dxfId="3" priority="2" operator="greaterThan">
      <formula>7</formula>
    </cfRule>
  </conditionalFormatting>
  <conditionalFormatting sqref="G6:G105">
    <cfRule type="dataBar" priority="1">
      <dataBar>
        <cfvo type="min"/>
        <cfvo type="max"/>
        <color rgb="FF1D4ED8"/>
      </dataBar>
    </cfRule>
    <cfRule type="dataBar" priority="6">
      <dataBar>
        <cfvo type="min"/>
        <cfvo type="max"/>
        <color rgb="FF1D4ED8"/>
      </dataBar>
      <extLst>
        <ext xmlns:x14="http://schemas.microsoft.com/office/spreadsheetml/2009/9/main" uri="{B025F937-C7B1-47D3-B67F-A62EFF666E3E}">
          <x14:id>{79A9E7BA-CDAD-BB3E-62E7-7BB760775719}</x14:id>
        </ext>
      </extLst>
    </cfRule>
  </conditionalFormatting>
  <conditionalFormatting sqref="H6:H105">
    <cfRule type="expression" dxfId="2" priority="3">
      <formula>H6="Red"</formula>
    </cfRule>
    <cfRule type="expression" dxfId="1" priority="4">
      <formula>H6="Yellow"</formula>
    </cfRule>
    <cfRule type="expression" dxfId="0" priority="5">
      <formula>H6="Green"</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79A9E7BA-CDAD-BB3E-62E7-7BB760775719}">
            <x14:dataBar>
              <x14:cfvo type="min"/>
              <x14:cfvo type="max"/>
              <x14:negativeFillColor auto="1"/>
              <x14:axisColor auto="1"/>
            </x14:dataBar>
          </x14:cfRule>
          <xm:sqref>G6:G105</xm:sqref>
        </x14:conditionalFormatting>
      </x14:conditionalFormattings>
    </ext>
    <ext xmlns:x14="http://schemas.microsoft.com/office/spreadsheetml/2009/9/main" uri="{CCE6A557-97BC-4b89-ADB6-D9C93CAAB3DF}">
      <x14:dataValidations xmlns:xm="http://schemas.microsoft.com/office/excel/2006/main" count="3">
        <x14:dataValidation type="list" xr:uid="{00000000-0002-0000-0700-000000000000}">
          <x14:formula1>
            <xm:f>Lists!$A$2:$A$8</xm:f>
          </x14:formula1>
          <xm:sqref>C6:C105</xm:sqref>
        </x14:dataValidation>
        <x14:dataValidation type="list" xr:uid="{00000000-0002-0000-0700-000001000000}">
          <x14:formula1>
            <xm:f>Lists!$D$2:$D$5</xm:f>
          </x14:formula1>
          <xm:sqref>D6:D105</xm:sqref>
        </x14:dataValidation>
        <x14:dataValidation type="list" xr:uid="{00000000-0002-0000-0700-000002000000}">
          <x14:formula1>
            <xm:f>Lists!$E$2:$E$4</xm:f>
          </x14:formula1>
          <xm:sqref>H6:H105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20"/>
  <sheetViews>
    <sheetView tabSelected="1" workbookViewId="0">
      <selection activeCell="D5" sqref="D5"/>
    </sheetView>
  </sheetViews>
  <sheetFormatPr defaultRowHeight="14.25"/>
  <cols>
    <col min="1" max="1" width="24" customWidth="1"/>
    <col min="2" max="2" width="58" customWidth="1"/>
    <col min="3" max="3" width="28" customWidth="1"/>
    <col min="4" max="4" width="90" customWidth="1"/>
  </cols>
  <sheetData>
    <row r="1" spans="1:26" ht="30" customHeight="1">
      <c r="A1" s="13" t="s">
        <v>300</v>
      </c>
      <c r="B1" s="13"/>
      <c r="C1" s="13"/>
      <c r="D1" s="13"/>
      <c r="E1" s="2"/>
      <c r="F1" s="2"/>
      <c r="G1" s="2"/>
      <c r="H1" s="2"/>
      <c r="I1" s="2"/>
      <c r="J1" s="2"/>
      <c r="K1" s="2"/>
      <c r="L1" s="2"/>
      <c r="M1" s="2"/>
      <c r="N1" s="2"/>
      <c r="O1" s="2"/>
      <c r="P1" s="2"/>
      <c r="Q1" s="2"/>
      <c r="R1" s="2"/>
      <c r="S1" s="2"/>
      <c r="T1" s="2"/>
      <c r="U1" s="2"/>
      <c r="V1" s="2"/>
      <c r="W1" s="2"/>
      <c r="X1" s="2"/>
      <c r="Y1" s="2"/>
      <c r="Z1" s="2"/>
    </row>
    <row r="2" spans="1:26">
      <c r="A2" s="2"/>
      <c r="B2" s="2"/>
      <c r="C2" s="2"/>
      <c r="D2" s="2"/>
      <c r="E2" s="2"/>
      <c r="F2" s="2"/>
      <c r="G2" s="2"/>
      <c r="H2" s="2"/>
      <c r="I2" s="2"/>
      <c r="J2" s="2"/>
      <c r="K2" s="2"/>
      <c r="L2" s="2"/>
      <c r="M2" s="2"/>
      <c r="N2" s="2"/>
      <c r="O2" s="2"/>
      <c r="P2" s="2"/>
      <c r="Q2" s="2"/>
      <c r="R2" s="2"/>
      <c r="S2" s="2"/>
      <c r="T2" s="2"/>
      <c r="U2" s="2"/>
      <c r="V2" s="2"/>
      <c r="W2" s="2"/>
      <c r="X2" s="2"/>
      <c r="Y2" s="2"/>
      <c r="Z2" s="2"/>
    </row>
    <row r="3" spans="1:26" ht="15">
      <c r="A3" s="1" t="s">
        <v>301</v>
      </c>
      <c r="B3" s="1" t="s">
        <v>302</v>
      </c>
      <c r="C3" s="1" t="s">
        <v>303</v>
      </c>
      <c r="D3" s="1" t="s">
        <v>304</v>
      </c>
      <c r="E3" s="2"/>
      <c r="F3" s="2"/>
      <c r="G3" s="2"/>
      <c r="H3" s="2"/>
      <c r="I3" s="2"/>
      <c r="J3" s="2"/>
      <c r="K3" s="2"/>
      <c r="L3" s="2"/>
      <c r="M3" s="2"/>
      <c r="N3" s="2"/>
      <c r="O3" s="2"/>
      <c r="P3" s="2"/>
      <c r="Q3" s="2"/>
      <c r="R3" s="2"/>
      <c r="S3" s="2"/>
      <c r="T3" s="2"/>
      <c r="U3" s="2"/>
      <c r="V3" s="2"/>
      <c r="W3" s="2"/>
      <c r="X3" s="2"/>
      <c r="Y3" s="2"/>
      <c r="Z3" s="2"/>
    </row>
    <row r="4" spans="1:26" ht="28.5">
      <c r="A4" s="2" t="s">
        <v>305</v>
      </c>
      <c r="B4" s="2" t="s">
        <v>306</v>
      </c>
      <c r="C4" s="2" t="s">
        <v>307</v>
      </c>
      <c r="D4" s="16" t="s">
        <v>308</v>
      </c>
      <c r="E4" s="2"/>
      <c r="F4" s="2"/>
      <c r="G4" s="2"/>
      <c r="H4" s="2"/>
      <c r="I4" s="2"/>
      <c r="J4" s="2"/>
      <c r="K4" s="2"/>
      <c r="L4" s="2"/>
      <c r="M4" s="2"/>
      <c r="N4" s="2"/>
      <c r="O4" s="2"/>
      <c r="P4" s="2"/>
      <c r="Q4" s="2"/>
      <c r="R4" s="2"/>
      <c r="S4" s="2"/>
      <c r="T4" s="2"/>
      <c r="U4" s="2"/>
      <c r="V4" s="2"/>
      <c r="W4" s="2"/>
      <c r="X4" s="2"/>
      <c r="Y4" s="2"/>
      <c r="Z4" s="2"/>
    </row>
    <row r="5" spans="1:26" ht="28.5">
      <c r="A5" s="2" t="s">
        <v>309</v>
      </c>
      <c r="B5" s="2" t="s">
        <v>310</v>
      </c>
      <c r="C5" s="2" t="s">
        <v>311</v>
      </c>
      <c r="D5" s="16" t="s">
        <v>312</v>
      </c>
      <c r="E5" s="2"/>
      <c r="F5" s="2"/>
      <c r="G5" s="2"/>
      <c r="H5" s="2"/>
      <c r="I5" s="2"/>
      <c r="J5" s="2"/>
      <c r="K5" s="2"/>
      <c r="L5" s="2"/>
      <c r="M5" s="2"/>
      <c r="N5" s="2"/>
      <c r="O5" s="2"/>
      <c r="P5" s="2"/>
      <c r="Q5" s="2"/>
      <c r="R5" s="2"/>
      <c r="S5" s="2"/>
      <c r="T5" s="2"/>
      <c r="U5" s="2"/>
      <c r="V5" s="2"/>
      <c r="W5" s="2"/>
      <c r="X5" s="2"/>
      <c r="Y5" s="2"/>
      <c r="Z5" s="2"/>
    </row>
    <row r="6" spans="1:26" ht="28.5">
      <c r="A6" s="2" t="s">
        <v>313</v>
      </c>
      <c r="B6" s="2" t="s">
        <v>314</v>
      </c>
      <c r="C6" s="2" t="s">
        <v>311</v>
      </c>
      <c r="D6" s="2" t="s">
        <v>315</v>
      </c>
      <c r="E6" s="2"/>
      <c r="F6" s="2"/>
      <c r="G6" s="2"/>
      <c r="H6" s="2"/>
      <c r="I6" s="2"/>
      <c r="J6" s="2"/>
      <c r="K6" s="2"/>
      <c r="L6" s="2"/>
      <c r="M6" s="2"/>
      <c r="N6" s="2"/>
      <c r="O6" s="2"/>
      <c r="P6" s="2"/>
      <c r="Q6" s="2"/>
      <c r="R6" s="2"/>
      <c r="S6" s="2"/>
      <c r="T6" s="2"/>
      <c r="U6" s="2"/>
      <c r="V6" s="2"/>
      <c r="W6" s="2"/>
      <c r="X6" s="2"/>
      <c r="Y6" s="2"/>
      <c r="Z6" s="2"/>
    </row>
    <row r="7" spans="1:26" ht="28.5">
      <c r="A7" s="2" t="s">
        <v>316</v>
      </c>
      <c r="B7" s="2" t="s">
        <v>317</v>
      </c>
      <c r="C7" s="2" t="s">
        <v>318</v>
      </c>
      <c r="D7" s="2" t="s">
        <v>319</v>
      </c>
      <c r="E7" s="2"/>
      <c r="F7" s="2"/>
      <c r="G7" s="2"/>
      <c r="H7" s="2"/>
      <c r="I7" s="2"/>
      <c r="J7" s="2"/>
      <c r="K7" s="2"/>
      <c r="L7" s="2"/>
      <c r="M7" s="2"/>
      <c r="N7" s="2"/>
      <c r="O7" s="2"/>
      <c r="P7" s="2"/>
      <c r="Q7" s="2"/>
      <c r="R7" s="2"/>
      <c r="S7" s="2"/>
      <c r="T7" s="2"/>
      <c r="U7" s="2"/>
      <c r="V7" s="2"/>
      <c r="W7" s="2"/>
      <c r="X7" s="2"/>
      <c r="Y7" s="2"/>
      <c r="Z7" s="2"/>
    </row>
    <row r="8" spans="1:26" ht="28.5">
      <c r="A8" s="2" t="s">
        <v>320</v>
      </c>
      <c r="B8" s="2" t="s">
        <v>321</v>
      </c>
      <c r="C8" s="2" t="s">
        <v>322</v>
      </c>
      <c r="D8" s="2" t="s">
        <v>323</v>
      </c>
      <c r="E8" s="2"/>
      <c r="F8" s="2"/>
      <c r="G8" s="2"/>
      <c r="H8" s="2"/>
      <c r="I8" s="2"/>
      <c r="J8" s="2"/>
      <c r="K8" s="2"/>
      <c r="L8" s="2"/>
      <c r="M8" s="2"/>
      <c r="N8" s="2"/>
      <c r="O8" s="2"/>
      <c r="P8" s="2"/>
      <c r="Q8" s="2"/>
      <c r="R8" s="2"/>
      <c r="S8" s="2"/>
      <c r="T8" s="2"/>
      <c r="U8" s="2"/>
      <c r="V8" s="2"/>
      <c r="W8" s="2"/>
      <c r="X8" s="2"/>
      <c r="Y8" s="2"/>
      <c r="Z8" s="2"/>
    </row>
    <row r="9" spans="1:26">
      <c r="A9" s="2"/>
      <c r="B9" s="2"/>
      <c r="C9" s="2"/>
      <c r="D9" s="2"/>
      <c r="E9" s="2"/>
      <c r="F9" s="2"/>
      <c r="G9" s="2"/>
      <c r="H9" s="2"/>
      <c r="I9" s="2"/>
      <c r="J9" s="2"/>
      <c r="K9" s="2"/>
      <c r="L9" s="2"/>
      <c r="M9" s="2"/>
      <c r="N9" s="2"/>
      <c r="O9" s="2"/>
      <c r="P9" s="2"/>
      <c r="Q9" s="2"/>
      <c r="R9" s="2"/>
      <c r="S9" s="2"/>
      <c r="T9" s="2"/>
      <c r="U9" s="2"/>
      <c r="V9" s="2"/>
      <c r="W9" s="2"/>
      <c r="X9" s="2"/>
      <c r="Y9" s="2"/>
      <c r="Z9" s="2"/>
    </row>
    <row r="10" spans="1:26">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sheetData>
  <mergeCells count="1">
    <mergeCell ref="A1:D1"/>
  </mergeCells>
  <hyperlinks>
    <hyperlink ref="D4" r:id="rId1" xr:uid="{74402805-8D41-4F42-8753-926D00EC7D8D}"/>
    <hyperlink ref="D5" r:id="rId2" xr:uid="{4C12201C-E38B-4E40-BA9F-B18C6BA7DB4F}"/>
  </hyperlinks>
  <pageMargins left="0.7" right="0.7" top="0.75" bottom="0.75" header="0.3" footer="0.3"/>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20"/>
  <sheetViews>
    <sheetView workbookViewId="0"/>
  </sheetViews>
  <sheetFormatPr defaultRowHeight="14.25"/>
  <cols>
    <col min="1" max="1" width="22" customWidth="1"/>
    <col min="2" max="2" width="12" customWidth="1"/>
    <col min="3" max="3" width="13" customWidth="1"/>
    <col min="4" max="5" width="12" customWidth="1"/>
  </cols>
  <sheetData>
    <row r="1" spans="1:26" ht="15">
      <c r="A1" s="1" t="s">
        <v>75</v>
      </c>
      <c r="B1" s="1" t="s">
        <v>79</v>
      </c>
      <c r="C1" s="1" t="s">
        <v>81</v>
      </c>
      <c r="D1" s="1" t="s">
        <v>18</v>
      </c>
      <c r="E1" s="1" t="s">
        <v>294</v>
      </c>
      <c r="F1" s="2"/>
      <c r="G1" s="2"/>
      <c r="H1" s="2"/>
      <c r="I1" s="2"/>
      <c r="J1" s="2"/>
      <c r="K1" s="2"/>
      <c r="L1" s="2"/>
      <c r="M1" s="2"/>
      <c r="N1" s="2"/>
      <c r="O1" s="2"/>
      <c r="P1" s="2"/>
      <c r="Q1" s="2"/>
      <c r="R1" s="2"/>
      <c r="S1" s="2"/>
      <c r="T1" s="2"/>
      <c r="U1" s="2"/>
      <c r="V1" s="2"/>
      <c r="W1" s="2"/>
      <c r="X1" s="2"/>
      <c r="Y1" s="2"/>
      <c r="Z1" s="2"/>
    </row>
    <row r="2" spans="1:26">
      <c r="A2" s="2" t="s">
        <v>85</v>
      </c>
      <c r="B2" s="2" t="s">
        <v>123</v>
      </c>
      <c r="C2" s="2" t="s">
        <v>108</v>
      </c>
      <c r="D2" s="2" t="s">
        <v>299</v>
      </c>
      <c r="E2" s="2" t="s">
        <v>324</v>
      </c>
      <c r="F2" s="2"/>
      <c r="G2" s="2"/>
      <c r="H2" s="2"/>
      <c r="I2" s="2"/>
      <c r="J2" s="2"/>
      <c r="K2" s="2"/>
      <c r="L2" s="2"/>
      <c r="M2" s="2"/>
      <c r="N2" s="2"/>
      <c r="O2" s="2"/>
      <c r="P2" s="2"/>
      <c r="Q2" s="2"/>
      <c r="R2" s="2"/>
      <c r="S2" s="2"/>
      <c r="T2" s="2"/>
      <c r="U2" s="2"/>
      <c r="V2" s="2"/>
      <c r="W2" s="2"/>
      <c r="X2" s="2"/>
      <c r="Y2" s="2"/>
      <c r="Z2" s="2"/>
    </row>
    <row r="3" spans="1:26">
      <c r="A3" s="2" t="s">
        <v>99</v>
      </c>
      <c r="B3" s="2" t="s">
        <v>106</v>
      </c>
      <c r="C3" s="2" t="s">
        <v>101</v>
      </c>
      <c r="D3" s="2" t="s">
        <v>325</v>
      </c>
      <c r="E3" s="2" t="s">
        <v>326</v>
      </c>
      <c r="F3" s="2"/>
      <c r="G3" s="2"/>
      <c r="H3" s="2"/>
      <c r="I3" s="2"/>
      <c r="J3" s="2"/>
      <c r="K3" s="2"/>
      <c r="L3" s="2"/>
      <c r="M3" s="2"/>
      <c r="N3" s="2"/>
      <c r="O3" s="2"/>
      <c r="P3" s="2"/>
      <c r="Q3" s="2"/>
      <c r="R3" s="2"/>
      <c r="S3" s="2"/>
      <c r="T3" s="2"/>
      <c r="U3" s="2"/>
      <c r="V3" s="2"/>
      <c r="W3" s="2"/>
      <c r="X3" s="2"/>
      <c r="Y3" s="2"/>
      <c r="Z3" s="2"/>
    </row>
    <row r="4" spans="1:26">
      <c r="A4" s="2" t="s">
        <v>112</v>
      </c>
      <c r="B4" s="2" t="s">
        <v>86</v>
      </c>
      <c r="C4" s="2" t="s">
        <v>95</v>
      </c>
      <c r="D4" s="2" t="s">
        <v>327</v>
      </c>
      <c r="E4" s="2" t="s">
        <v>328</v>
      </c>
      <c r="F4" s="2"/>
      <c r="G4" s="2"/>
      <c r="H4" s="2"/>
      <c r="I4" s="2"/>
      <c r="J4" s="2"/>
      <c r="K4" s="2"/>
      <c r="L4" s="2"/>
      <c r="M4" s="2"/>
      <c r="N4" s="2"/>
      <c r="O4" s="2"/>
      <c r="P4" s="2"/>
      <c r="Q4" s="2"/>
      <c r="R4" s="2"/>
      <c r="S4" s="2"/>
      <c r="T4" s="2"/>
      <c r="U4" s="2"/>
      <c r="V4" s="2"/>
      <c r="W4" s="2"/>
      <c r="X4" s="2"/>
      <c r="Y4" s="2"/>
      <c r="Z4" s="2"/>
    </row>
    <row r="5" spans="1:26">
      <c r="A5" s="2" t="s">
        <v>105</v>
      </c>
      <c r="B5" s="2" t="s">
        <v>93</v>
      </c>
      <c r="C5" s="2" t="s">
        <v>88</v>
      </c>
      <c r="D5" s="2" t="s">
        <v>329</v>
      </c>
      <c r="E5" s="2"/>
      <c r="F5" s="2"/>
      <c r="G5" s="2"/>
      <c r="H5" s="2"/>
      <c r="I5" s="2"/>
      <c r="J5" s="2"/>
      <c r="K5" s="2"/>
      <c r="L5" s="2"/>
      <c r="M5" s="2"/>
      <c r="N5" s="2"/>
      <c r="O5" s="2"/>
      <c r="P5" s="2"/>
      <c r="Q5" s="2"/>
      <c r="R5" s="2"/>
      <c r="S5" s="2"/>
      <c r="T5" s="2"/>
      <c r="U5" s="2"/>
      <c r="V5" s="2"/>
      <c r="W5" s="2"/>
      <c r="X5" s="2"/>
      <c r="Y5" s="2"/>
      <c r="Z5" s="2"/>
    </row>
    <row r="6" spans="1:26">
      <c r="A6" s="2" t="s">
        <v>92</v>
      </c>
      <c r="B6" s="2"/>
      <c r="C6" s="2"/>
      <c r="D6" s="2"/>
      <c r="E6" s="2"/>
      <c r="F6" s="2"/>
      <c r="G6" s="2"/>
      <c r="H6" s="2"/>
      <c r="I6" s="2"/>
      <c r="J6" s="2"/>
      <c r="K6" s="2"/>
      <c r="L6" s="2"/>
      <c r="M6" s="2"/>
      <c r="N6" s="2"/>
      <c r="O6" s="2"/>
      <c r="P6" s="2"/>
      <c r="Q6" s="2"/>
      <c r="R6" s="2"/>
      <c r="S6" s="2"/>
      <c r="T6" s="2"/>
      <c r="U6" s="2"/>
      <c r="V6" s="2"/>
      <c r="W6" s="2"/>
      <c r="X6" s="2"/>
      <c r="Y6" s="2"/>
      <c r="Z6" s="2"/>
    </row>
    <row r="7" spans="1:26">
      <c r="A7" s="2" t="s">
        <v>117</v>
      </c>
      <c r="B7" s="2"/>
      <c r="C7" s="2"/>
      <c r="D7" s="2"/>
      <c r="E7" s="2"/>
      <c r="F7" s="2"/>
      <c r="G7" s="2"/>
      <c r="H7" s="2"/>
      <c r="I7" s="2"/>
      <c r="J7" s="2"/>
      <c r="K7" s="2"/>
      <c r="L7" s="2"/>
      <c r="M7" s="2"/>
      <c r="N7" s="2"/>
      <c r="O7" s="2"/>
      <c r="P7" s="2"/>
      <c r="Q7" s="2"/>
      <c r="R7" s="2"/>
      <c r="S7" s="2"/>
      <c r="T7" s="2"/>
      <c r="U7" s="2"/>
      <c r="V7" s="2"/>
      <c r="W7" s="2"/>
      <c r="X7" s="2"/>
      <c r="Y7" s="2"/>
      <c r="Z7" s="2"/>
    </row>
    <row r="8" spans="1:26">
      <c r="A8" s="2" t="s">
        <v>122</v>
      </c>
      <c r="B8" s="2"/>
      <c r="C8" s="2"/>
      <c r="D8" s="2"/>
      <c r="E8" s="2"/>
      <c r="F8" s="2"/>
      <c r="G8" s="2"/>
      <c r="H8" s="2"/>
      <c r="I8" s="2"/>
      <c r="J8" s="2"/>
      <c r="K8" s="2"/>
      <c r="L8" s="2"/>
      <c r="M8" s="2"/>
      <c r="N8" s="2"/>
      <c r="O8" s="2"/>
      <c r="P8" s="2"/>
      <c r="Q8" s="2"/>
      <c r="R8" s="2"/>
      <c r="S8" s="2"/>
      <c r="T8" s="2"/>
      <c r="U8" s="2"/>
      <c r="V8" s="2"/>
      <c r="W8" s="2"/>
      <c r="X8" s="2"/>
      <c r="Y8" s="2"/>
      <c r="Z8" s="2"/>
    </row>
    <row r="9" spans="1:26">
      <c r="A9" s="2"/>
      <c r="B9" s="2"/>
      <c r="C9" s="2"/>
      <c r="D9" s="2"/>
      <c r="E9" s="2"/>
      <c r="F9" s="2"/>
      <c r="G9" s="2"/>
      <c r="H9" s="2"/>
      <c r="I9" s="2"/>
      <c r="J9" s="2"/>
      <c r="K9" s="2"/>
      <c r="L9" s="2"/>
      <c r="M9" s="2"/>
      <c r="N9" s="2"/>
      <c r="O9" s="2"/>
      <c r="P9" s="2"/>
      <c r="Q9" s="2"/>
      <c r="R9" s="2"/>
      <c r="S9" s="2"/>
      <c r="T9" s="2"/>
      <c r="U9" s="2"/>
      <c r="V9" s="2"/>
      <c r="W9" s="2"/>
      <c r="X9" s="2"/>
      <c r="Y9" s="2"/>
      <c r="Z9" s="2"/>
    </row>
    <row r="10" spans="1:26">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Weekly Plan</vt:lpstr>
      <vt:lpstr>Session 1 - IQ</vt:lpstr>
      <vt:lpstr>Session 2 - Duels</vt:lpstr>
      <vt:lpstr>Session 3 - Forward</vt:lpstr>
      <vt:lpstr>20-Min Homework</vt:lpstr>
      <vt:lpstr>Score Tracker</vt:lpstr>
      <vt:lpstr>Session Log</vt:lpstr>
      <vt:lpstr>References</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fawaz</dc:creator>
  <cp:lastModifiedBy>john fawaz</cp:lastModifiedBy>
  <dcterms:created xsi:type="dcterms:W3CDTF">2026-07-18T07:28:26Z</dcterms:created>
  <dcterms:modified xsi:type="dcterms:W3CDTF">2026-07-18T07:46:04Z</dcterms:modified>
</cp:coreProperties>
</file>